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e\Desktop\Emagreça sem culpa\Planilha\"/>
    </mc:Choice>
  </mc:AlternateContent>
  <xr:revisionPtr revIDLastSave="0" documentId="8_{5A7AF7E4-8D32-484E-93C4-FFC81523C3D0}" xr6:coauthVersionLast="47" xr6:coauthVersionMax="47" xr10:uidLastSave="{00000000-0000-0000-0000-000000000000}"/>
  <bookViews>
    <workbookView xWindow="390" yWindow="390" windowWidth="21600" windowHeight="11295" firstSheet="1" activeTab="4" xr2:uid="{78F18250-5131-468F-A283-52FE1FC64E25}"/>
  </bookViews>
  <sheets>
    <sheet name="Dashboard Executivo" sheetId="7" r:id="rId1"/>
    <sheet name="Controle Diario" sheetId="6" r:id="rId2"/>
    <sheet name="Controle de Criativos" sheetId="5" r:id="rId3"/>
    <sheet name="Analise de Funil" sheetId="4" r:id="rId4"/>
    <sheet name="Historico de Escala" sheetId="3" r:id="rId5"/>
    <sheet name="Registro de Vendas" sheetId="2" r:id="rId6"/>
    <sheet name="Insights Automaticos" sheetId="1" r:id="rId7"/>
  </sheets>
  <definedNames>
    <definedName name="_xlnm._FilterDatabase" localSheetId="2" hidden="1">'Controle de Criativos'!$A$4:$L$4</definedName>
    <definedName name="_xlnm._FilterDatabase" localSheetId="1" hidden="1">'Controle Diario'!$A$4:$P$4</definedName>
    <definedName name="_xlnm._FilterDatabase" localSheetId="4" hidden="1">'Historico de Escala'!$A$4:$H$4</definedName>
    <definedName name="_xlnm._FilterDatabase" localSheetId="5" hidden="1">'Registro de Vendas'!$A$4:$F$4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1" l="1"/>
  <c r="C11" i="1"/>
  <c r="D10" i="1"/>
  <c r="C10" i="1"/>
  <c r="D9" i="1"/>
  <c r="C9" i="1"/>
  <c r="D8" i="1"/>
  <c r="C8" i="1"/>
  <c r="D7" i="1"/>
  <c r="C7" i="1"/>
  <c r="D6" i="1"/>
  <c r="C6" i="1"/>
  <c r="D5" i="1"/>
  <c r="C5" i="1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F9" i="4"/>
  <c r="F8" i="4"/>
  <c r="F7" i="4"/>
  <c r="F6" i="4"/>
  <c r="E9" i="4"/>
  <c r="E8" i="4"/>
  <c r="E7" i="4"/>
  <c r="E6" i="4"/>
  <c r="D9" i="4"/>
  <c r="D8" i="4"/>
  <c r="D7" i="4"/>
  <c r="D6" i="4"/>
  <c r="C9" i="4"/>
  <c r="C8" i="4"/>
  <c r="C7" i="4"/>
  <c r="C6" i="4"/>
  <c r="C5" i="4"/>
  <c r="K9" i="7"/>
  <c r="K8" i="7"/>
  <c r="F11" i="7"/>
  <c r="D11" i="7"/>
  <c r="B11" i="7"/>
  <c r="H8" i="7"/>
  <c r="F8" i="7"/>
  <c r="D8" i="7"/>
  <c r="B8" i="7"/>
  <c r="H5" i="7"/>
  <c r="F5" i="7"/>
  <c r="D5" i="7"/>
  <c r="B5" i="7"/>
  <c r="R8" i="5"/>
  <c r="Q8" i="5"/>
  <c r="P8" i="5"/>
  <c r="O8" i="5"/>
  <c r="R7" i="5"/>
  <c r="Q7" i="5"/>
  <c r="P7" i="5"/>
  <c r="O7" i="5"/>
  <c r="R6" i="5"/>
  <c r="Q6" i="5"/>
  <c r="P6" i="5"/>
  <c r="O6" i="5"/>
  <c r="M100" i="5"/>
  <c r="K100" i="5"/>
  <c r="J100" i="5"/>
  <c r="I100" i="5"/>
  <c r="H100" i="5"/>
  <c r="M99" i="5"/>
  <c r="K99" i="5"/>
  <c r="J99" i="5"/>
  <c r="I99" i="5"/>
  <c r="H99" i="5"/>
  <c r="M98" i="5"/>
  <c r="K98" i="5"/>
  <c r="J98" i="5"/>
  <c r="I98" i="5"/>
  <c r="H98" i="5"/>
  <c r="M97" i="5"/>
  <c r="K97" i="5"/>
  <c r="J97" i="5"/>
  <c r="I97" i="5"/>
  <c r="H97" i="5"/>
  <c r="M96" i="5"/>
  <c r="K96" i="5"/>
  <c r="J96" i="5"/>
  <c r="I96" i="5"/>
  <c r="H96" i="5"/>
  <c r="M95" i="5"/>
  <c r="K95" i="5"/>
  <c r="J95" i="5"/>
  <c r="I95" i="5"/>
  <c r="H95" i="5"/>
  <c r="M94" i="5"/>
  <c r="K94" i="5"/>
  <c r="J94" i="5"/>
  <c r="I94" i="5"/>
  <c r="H94" i="5"/>
  <c r="M93" i="5"/>
  <c r="K93" i="5"/>
  <c r="J93" i="5"/>
  <c r="I93" i="5"/>
  <c r="H93" i="5"/>
  <c r="M92" i="5"/>
  <c r="K92" i="5"/>
  <c r="J92" i="5"/>
  <c r="I92" i="5"/>
  <c r="H92" i="5"/>
  <c r="M91" i="5"/>
  <c r="K91" i="5"/>
  <c r="J91" i="5"/>
  <c r="I91" i="5"/>
  <c r="H91" i="5"/>
  <c r="M90" i="5"/>
  <c r="K90" i="5"/>
  <c r="J90" i="5"/>
  <c r="I90" i="5"/>
  <c r="H90" i="5"/>
  <c r="M89" i="5"/>
  <c r="K89" i="5"/>
  <c r="J89" i="5"/>
  <c r="I89" i="5"/>
  <c r="H89" i="5"/>
  <c r="M88" i="5"/>
  <c r="K88" i="5"/>
  <c r="J88" i="5"/>
  <c r="I88" i="5"/>
  <c r="H88" i="5"/>
  <c r="M87" i="5"/>
  <c r="K87" i="5"/>
  <c r="J87" i="5"/>
  <c r="I87" i="5"/>
  <c r="H87" i="5"/>
  <c r="M86" i="5"/>
  <c r="K86" i="5"/>
  <c r="J86" i="5"/>
  <c r="I86" i="5"/>
  <c r="H86" i="5"/>
  <c r="M85" i="5"/>
  <c r="K85" i="5"/>
  <c r="J85" i="5"/>
  <c r="I85" i="5"/>
  <c r="H85" i="5"/>
  <c r="M84" i="5"/>
  <c r="K84" i="5"/>
  <c r="J84" i="5"/>
  <c r="I84" i="5"/>
  <c r="H84" i="5"/>
  <c r="M83" i="5"/>
  <c r="K83" i="5"/>
  <c r="J83" i="5"/>
  <c r="I83" i="5"/>
  <c r="H83" i="5"/>
  <c r="M82" i="5"/>
  <c r="K82" i="5"/>
  <c r="J82" i="5"/>
  <c r="I82" i="5"/>
  <c r="H82" i="5"/>
  <c r="M81" i="5"/>
  <c r="K81" i="5"/>
  <c r="J81" i="5"/>
  <c r="I81" i="5"/>
  <c r="H81" i="5"/>
  <c r="M80" i="5"/>
  <c r="K80" i="5"/>
  <c r="J80" i="5"/>
  <c r="I80" i="5"/>
  <c r="H80" i="5"/>
  <c r="M79" i="5"/>
  <c r="K79" i="5"/>
  <c r="J79" i="5"/>
  <c r="I79" i="5"/>
  <c r="H79" i="5"/>
  <c r="M78" i="5"/>
  <c r="K78" i="5"/>
  <c r="J78" i="5"/>
  <c r="I78" i="5"/>
  <c r="H78" i="5"/>
  <c r="M77" i="5"/>
  <c r="K77" i="5"/>
  <c r="J77" i="5"/>
  <c r="I77" i="5"/>
  <c r="H77" i="5"/>
  <c r="M76" i="5"/>
  <c r="K76" i="5"/>
  <c r="J76" i="5"/>
  <c r="I76" i="5"/>
  <c r="H76" i="5"/>
  <c r="M75" i="5"/>
  <c r="K75" i="5"/>
  <c r="J75" i="5"/>
  <c r="I75" i="5"/>
  <c r="H75" i="5"/>
  <c r="M74" i="5"/>
  <c r="K74" i="5"/>
  <c r="J74" i="5"/>
  <c r="I74" i="5"/>
  <c r="H74" i="5"/>
  <c r="M73" i="5"/>
  <c r="K73" i="5"/>
  <c r="J73" i="5"/>
  <c r="I73" i="5"/>
  <c r="H73" i="5"/>
  <c r="M72" i="5"/>
  <c r="K72" i="5"/>
  <c r="J72" i="5"/>
  <c r="I72" i="5"/>
  <c r="H72" i="5"/>
  <c r="M71" i="5"/>
  <c r="K71" i="5"/>
  <c r="J71" i="5"/>
  <c r="I71" i="5"/>
  <c r="H71" i="5"/>
  <c r="M70" i="5"/>
  <c r="K70" i="5"/>
  <c r="J70" i="5"/>
  <c r="I70" i="5"/>
  <c r="H70" i="5"/>
  <c r="M69" i="5"/>
  <c r="K69" i="5"/>
  <c r="J69" i="5"/>
  <c r="I69" i="5"/>
  <c r="H69" i="5"/>
  <c r="M68" i="5"/>
  <c r="K68" i="5"/>
  <c r="J68" i="5"/>
  <c r="I68" i="5"/>
  <c r="H68" i="5"/>
  <c r="M67" i="5"/>
  <c r="K67" i="5"/>
  <c r="J67" i="5"/>
  <c r="I67" i="5"/>
  <c r="H67" i="5"/>
  <c r="M66" i="5"/>
  <c r="K66" i="5"/>
  <c r="J66" i="5"/>
  <c r="I66" i="5"/>
  <c r="H66" i="5"/>
  <c r="M65" i="5"/>
  <c r="K65" i="5"/>
  <c r="J65" i="5"/>
  <c r="I65" i="5"/>
  <c r="H65" i="5"/>
  <c r="M64" i="5"/>
  <c r="K64" i="5"/>
  <c r="J64" i="5"/>
  <c r="I64" i="5"/>
  <c r="H64" i="5"/>
  <c r="M63" i="5"/>
  <c r="K63" i="5"/>
  <c r="J63" i="5"/>
  <c r="I63" i="5"/>
  <c r="H63" i="5"/>
  <c r="M62" i="5"/>
  <c r="K62" i="5"/>
  <c r="J62" i="5"/>
  <c r="I62" i="5"/>
  <c r="H62" i="5"/>
  <c r="M61" i="5"/>
  <c r="K61" i="5"/>
  <c r="J61" i="5"/>
  <c r="I61" i="5"/>
  <c r="H61" i="5"/>
  <c r="M60" i="5"/>
  <c r="K60" i="5"/>
  <c r="J60" i="5"/>
  <c r="I60" i="5"/>
  <c r="H60" i="5"/>
  <c r="M59" i="5"/>
  <c r="K59" i="5"/>
  <c r="J59" i="5"/>
  <c r="I59" i="5"/>
  <c r="H59" i="5"/>
  <c r="M58" i="5"/>
  <c r="K58" i="5"/>
  <c r="J58" i="5"/>
  <c r="I58" i="5"/>
  <c r="H58" i="5"/>
  <c r="M57" i="5"/>
  <c r="K57" i="5"/>
  <c r="J57" i="5"/>
  <c r="I57" i="5"/>
  <c r="H57" i="5"/>
  <c r="M56" i="5"/>
  <c r="K56" i="5"/>
  <c r="J56" i="5"/>
  <c r="I56" i="5"/>
  <c r="H56" i="5"/>
  <c r="M55" i="5"/>
  <c r="K55" i="5"/>
  <c r="J55" i="5"/>
  <c r="I55" i="5"/>
  <c r="H55" i="5"/>
  <c r="M54" i="5"/>
  <c r="K54" i="5"/>
  <c r="J54" i="5"/>
  <c r="I54" i="5"/>
  <c r="H54" i="5"/>
  <c r="M53" i="5"/>
  <c r="K53" i="5"/>
  <c r="J53" i="5"/>
  <c r="I53" i="5"/>
  <c r="H53" i="5"/>
  <c r="M52" i="5"/>
  <c r="K52" i="5"/>
  <c r="J52" i="5"/>
  <c r="I52" i="5"/>
  <c r="H52" i="5"/>
  <c r="M51" i="5"/>
  <c r="K51" i="5"/>
  <c r="J51" i="5"/>
  <c r="I51" i="5"/>
  <c r="H51" i="5"/>
  <c r="M50" i="5"/>
  <c r="K50" i="5"/>
  <c r="J50" i="5"/>
  <c r="I50" i="5"/>
  <c r="H50" i="5"/>
  <c r="M49" i="5"/>
  <c r="K49" i="5"/>
  <c r="J49" i="5"/>
  <c r="I49" i="5"/>
  <c r="H49" i="5"/>
  <c r="M48" i="5"/>
  <c r="K48" i="5"/>
  <c r="J48" i="5"/>
  <c r="I48" i="5"/>
  <c r="H48" i="5"/>
  <c r="M47" i="5"/>
  <c r="K47" i="5"/>
  <c r="J47" i="5"/>
  <c r="I47" i="5"/>
  <c r="H47" i="5"/>
  <c r="M46" i="5"/>
  <c r="K46" i="5"/>
  <c r="J46" i="5"/>
  <c r="I46" i="5"/>
  <c r="H46" i="5"/>
  <c r="M45" i="5"/>
  <c r="K45" i="5"/>
  <c r="J45" i="5"/>
  <c r="I45" i="5"/>
  <c r="H45" i="5"/>
  <c r="M44" i="5"/>
  <c r="K44" i="5"/>
  <c r="J44" i="5"/>
  <c r="I44" i="5"/>
  <c r="H44" i="5"/>
  <c r="M43" i="5"/>
  <c r="K43" i="5"/>
  <c r="J43" i="5"/>
  <c r="I43" i="5"/>
  <c r="H43" i="5"/>
  <c r="M42" i="5"/>
  <c r="K42" i="5"/>
  <c r="J42" i="5"/>
  <c r="I42" i="5"/>
  <c r="H42" i="5"/>
  <c r="M41" i="5"/>
  <c r="K41" i="5"/>
  <c r="J41" i="5"/>
  <c r="I41" i="5"/>
  <c r="H41" i="5"/>
  <c r="M40" i="5"/>
  <c r="K40" i="5"/>
  <c r="J40" i="5"/>
  <c r="I40" i="5"/>
  <c r="H40" i="5"/>
  <c r="M39" i="5"/>
  <c r="K39" i="5"/>
  <c r="J39" i="5"/>
  <c r="I39" i="5"/>
  <c r="H39" i="5"/>
  <c r="M38" i="5"/>
  <c r="K38" i="5"/>
  <c r="J38" i="5"/>
  <c r="I38" i="5"/>
  <c r="H38" i="5"/>
  <c r="M37" i="5"/>
  <c r="K37" i="5"/>
  <c r="J37" i="5"/>
  <c r="I37" i="5"/>
  <c r="H37" i="5"/>
  <c r="M36" i="5"/>
  <c r="K36" i="5"/>
  <c r="J36" i="5"/>
  <c r="I36" i="5"/>
  <c r="H36" i="5"/>
  <c r="M35" i="5"/>
  <c r="K35" i="5"/>
  <c r="J35" i="5"/>
  <c r="I35" i="5"/>
  <c r="H35" i="5"/>
  <c r="M34" i="5"/>
  <c r="K34" i="5"/>
  <c r="J34" i="5"/>
  <c r="I34" i="5"/>
  <c r="H34" i="5"/>
  <c r="M33" i="5"/>
  <c r="K33" i="5"/>
  <c r="J33" i="5"/>
  <c r="I33" i="5"/>
  <c r="H33" i="5"/>
  <c r="M32" i="5"/>
  <c r="K32" i="5"/>
  <c r="J32" i="5"/>
  <c r="I32" i="5"/>
  <c r="H32" i="5"/>
  <c r="M31" i="5"/>
  <c r="K31" i="5"/>
  <c r="J31" i="5"/>
  <c r="I31" i="5"/>
  <c r="H31" i="5"/>
  <c r="M30" i="5"/>
  <c r="K30" i="5"/>
  <c r="J30" i="5"/>
  <c r="I30" i="5"/>
  <c r="H30" i="5"/>
  <c r="M29" i="5"/>
  <c r="K29" i="5"/>
  <c r="J29" i="5"/>
  <c r="I29" i="5"/>
  <c r="H29" i="5"/>
  <c r="M28" i="5"/>
  <c r="K28" i="5"/>
  <c r="J28" i="5"/>
  <c r="I28" i="5"/>
  <c r="H28" i="5"/>
  <c r="M27" i="5"/>
  <c r="K27" i="5"/>
  <c r="J27" i="5"/>
  <c r="I27" i="5"/>
  <c r="H27" i="5"/>
  <c r="M26" i="5"/>
  <c r="K26" i="5"/>
  <c r="J26" i="5"/>
  <c r="I26" i="5"/>
  <c r="H26" i="5"/>
  <c r="M25" i="5"/>
  <c r="K25" i="5"/>
  <c r="J25" i="5"/>
  <c r="I25" i="5"/>
  <c r="H25" i="5"/>
  <c r="M24" i="5"/>
  <c r="K24" i="5"/>
  <c r="J24" i="5"/>
  <c r="I24" i="5"/>
  <c r="H24" i="5"/>
  <c r="M23" i="5"/>
  <c r="K23" i="5"/>
  <c r="J23" i="5"/>
  <c r="I23" i="5"/>
  <c r="H23" i="5"/>
  <c r="M22" i="5"/>
  <c r="K22" i="5"/>
  <c r="J22" i="5"/>
  <c r="I22" i="5"/>
  <c r="H22" i="5"/>
  <c r="M21" i="5"/>
  <c r="K21" i="5"/>
  <c r="J21" i="5"/>
  <c r="I21" i="5"/>
  <c r="H21" i="5"/>
  <c r="M20" i="5"/>
  <c r="K20" i="5"/>
  <c r="J20" i="5"/>
  <c r="I20" i="5"/>
  <c r="H20" i="5"/>
  <c r="M19" i="5"/>
  <c r="K19" i="5"/>
  <c r="J19" i="5"/>
  <c r="I19" i="5"/>
  <c r="H19" i="5"/>
  <c r="M18" i="5"/>
  <c r="K18" i="5"/>
  <c r="J18" i="5"/>
  <c r="I18" i="5"/>
  <c r="H18" i="5"/>
  <c r="M17" i="5"/>
  <c r="K17" i="5"/>
  <c r="J17" i="5"/>
  <c r="I17" i="5"/>
  <c r="H17" i="5"/>
  <c r="M16" i="5"/>
  <c r="K16" i="5"/>
  <c r="J16" i="5"/>
  <c r="I16" i="5"/>
  <c r="H16" i="5"/>
  <c r="M15" i="5"/>
  <c r="K15" i="5"/>
  <c r="J15" i="5"/>
  <c r="I15" i="5"/>
  <c r="H15" i="5"/>
  <c r="M14" i="5"/>
  <c r="K14" i="5"/>
  <c r="J14" i="5"/>
  <c r="I14" i="5"/>
  <c r="H14" i="5"/>
  <c r="M13" i="5"/>
  <c r="K13" i="5"/>
  <c r="J13" i="5"/>
  <c r="I13" i="5"/>
  <c r="H13" i="5"/>
  <c r="M12" i="5"/>
  <c r="K12" i="5"/>
  <c r="J12" i="5"/>
  <c r="I12" i="5"/>
  <c r="H12" i="5"/>
  <c r="M11" i="5"/>
  <c r="K11" i="5"/>
  <c r="J11" i="5"/>
  <c r="I11" i="5"/>
  <c r="H11" i="5"/>
  <c r="M10" i="5"/>
  <c r="K10" i="5"/>
  <c r="J10" i="5"/>
  <c r="I10" i="5"/>
  <c r="H10" i="5"/>
  <c r="M9" i="5"/>
  <c r="K9" i="5"/>
  <c r="J9" i="5"/>
  <c r="I9" i="5"/>
  <c r="H9" i="5"/>
  <c r="M8" i="5"/>
  <c r="K8" i="5"/>
  <c r="J8" i="5"/>
  <c r="I8" i="5"/>
  <c r="H8" i="5"/>
  <c r="M7" i="5"/>
  <c r="K7" i="5"/>
  <c r="J7" i="5"/>
  <c r="I7" i="5"/>
  <c r="H7" i="5"/>
  <c r="M6" i="5"/>
  <c r="K6" i="5"/>
  <c r="J6" i="5"/>
  <c r="I6" i="5"/>
  <c r="H6" i="5"/>
  <c r="M5" i="5"/>
  <c r="K5" i="5"/>
  <c r="J5" i="5"/>
  <c r="I5" i="5"/>
  <c r="H5" i="5"/>
  <c r="J3" i="2"/>
  <c r="I3" i="2"/>
  <c r="H3" i="2"/>
  <c r="O100" i="6"/>
  <c r="N100" i="6"/>
  <c r="M100" i="6"/>
  <c r="L100" i="6"/>
  <c r="K100" i="6"/>
  <c r="J100" i="6"/>
  <c r="O99" i="6"/>
  <c r="N99" i="6"/>
  <c r="M99" i="6"/>
  <c r="L99" i="6"/>
  <c r="K99" i="6"/>
  <c r="J99" i="6"/>
  <c r="O98" i="6"/>
  <c r="N98" i="6"/>
  <c r="M98" i="6"/>
  <c r="L98" i="6"/>
  <c r="K98" i="6"/>
  <c r="J98" i="6"/>
  <c r="O97" i="6"/>
  <c r="N97" i="6"/>
  <c r="M97" i="6"/>
  <c r="L97" i="6"/>
  <c r="K97" i="6"/>
  <c r="J97" i="6"/>
  <c r="O96" i="6"/>
  <c r="N96" i="6"/>
  <c r="M96" i="6"/>
  <c r="L96" i="6"/>
  <c r="K96" i="6"/>
  <c r="J96" i="6"/>
  <c r="O95" i="6"/>
  <c r="N95" i="6"/>
  <c r="M95" i="6"/>
  <c r="L95" i="6"/>
  <c r="K95" i="6"/>
  <c r="J95" i="6"/>
  <c r="O94" i="6"/>
  <c r="N94" i="6"/>
  <c r="M94" i="6"/>
  <c r="L94" i="6"/>
  <c r="K94" i="6"/>
  <c r="J94" i="6"/>
  <c r="O93" i="6"/>
  <c r="N93" i="6"/>
  <c r="M93" i="6"/>
  <c r="L93" i="6"/>
  <c r="K93" i="6"/>
  <c r="J93" i="6"/>
  <c r="O92" i="6"/>
  <c r="N92" i="6"/>
  <c r="M92" i="6"/>
  <c r="L92" i="6"/>
  <c r="K92" i="6"/>
  <c r="J92" i="6"/>
  <c r="O91" i="6"/>
  <c r="N91" i="6"/>
  <c r="M91" i="6"/>
  <c r="L91" i="6"/>
  <c r="K91" i="6"/>
  <c r="J91" i="6"/>
  <c r="O90" i="6"/>
  <c r="N90" i="6"/>
  <c r="M90" i="6"/>
  <c r="L90" i="6"/>
  <c r="K90" i="6"/>
  <c r="J90" i="6"/>
  <c r="O89" i="6"/>
  <c r="N89" i="6"/>
  <c r="M89" i="6"/>
  <c r="L89" i="6"/>
  <c r="K89" i="6"/>
  <c r="J89" i="6"/>
  <c r="O88" i="6"/>
  <c r="N88" i="6"/>
  <c r="M88" i="6"/>
  <c r="L88" i="6"/>
  <c r="K88" i="6"/>
  <c r="J88" i="6"/>
  <c r="O87" i="6"/>
  <c r="N87" i="6"/>
  <c r="M87" i="6"/>
  <c r="L87" i="6"/>
  <c r="K87" i="6"/>
  <c r="J87" i="6"/>
  <c r="O86" i="6"/>
  <c r="N86" i="6"/>
  <c r="M86" i="6"/>
  <c r="L86" i="6"/>
  <c r="K86" i="6"/>
  <c r="J86" i="6"/>
  <c r="O85" i="6"/>
  <c r="N85" i="6"/>
  <c r="M85" i="6"/>
  <c r="L85" i="6"/>
  <c r="K85" i="6"/>
  <c r="J85" i="6"/>
  <c r="O84" i="6"/>
  <c r="N84" i="6"/>
  <c r="M84" i="6"/>
  <c r="L84" i="6"/>
  <c r="K84" i="6"/>
  <c r="J84" i="6"/>
  <c r="O83" i="6"/>
  <c r="N83" i="6"/>
  <c r="M83" i="6"/>
  <c r="L83" i="6"/>
  <c r="K83" i="6"/>
  <c r="J83" i="6"/>
  <c r="O82" i="6"/>
  <c r="N82" i="6"/>
  <c r="M82" i="6"/>
  <c r="L82" i="6"/>
  <c r="K82" i="6"/>
  <c r="J82" i="6"/>
  <c r="O81" i="6"/>
  <c r="N81" i="6"/>
  <c r="M81" i="6"/>
  <c r="L81" i="6"/>
  <c r="K81" i="6"/>
  <c r="J81" i="6"/>
  <c r="O80" i="6"/>
  <c r="N80" i="6"/>
  <c r="M80" i="6"/>
  <c r="L80" i="6"/>
  <c r="K80" i="6"/>
  <c r="J80" i="6"/>
  <c r="O79" i="6"/>
  <c r="N79" i="6"/>
  <c r="M79" i="6"/>
  <c r="L79" i="6"/>
  <c r="K79" i="6"/>
  <c r="J79" i="6"/>
  <c r="O78" i="6"/>
  <c r="N78" i="6"/>
  <c r="M78" i="6"/>
  <c r="L78" i="6"/>
  <c r="K78" i="6"/>
  <c r="J78" i="6"/>
  <c r="O77" i="6"/>
  <c r="N77" i="6"/>
  <c r="M77" i="6"/>
  <c r="L77" i="6"/>
  <c r="K77" i="6"/>
  <c r="J77" i="6"/>
  <c r="O76" i="6"/>
  <c r="N76" i="6"/>
  <c r="M76" i="6"/>
  <c r="L76" i="6"/>
  <c r="K76" i="6"/>
  <c r="J76" i="6"/>
  <c r="O75" i="6"/>
  <c r="N75" i="6"/>
  <c r="M75" i="6"/>
  <c r="L75" i="6"/>
  <c r="K75" i="6"/>
  <c r="J75" i="6"/>
  <c r="O74" i="6"/>
  <c r="N74" i="6"/>
  <c r="M74" i="6"/>
  <c r="L74" i="6"/>
  <c r="K74" i="6"/>
  <c r="J74" i="6"/>
  <c r="O73" i="6"/>
  <c r="N73" i="6"/>
  <c r="M73" i="6"/>
  <c r="L73" i="6"/>
  <c r="K73" i="6"/>
  <c r="J73" i="6"/>
  <c r="O72" i="6"/>
  <c r="N72" i="6"/>
  <c r="M72" i="6"/>
  <c r="L72" i="6"/>
  <c r="K72" i="6"/>
  <c r="J72" i="6"/>
  <c r="O71" i="6"/>
  <c r="N71" i="6"/>
  <c r="M71" i="6"/>
  <c r="L71" i="6"/>
  <c r="K71" i="6"/>
  <c r="J71" i="6"/>
  <c r="O70" i="6"/>
  <c r="N70" i="6"/>
  <c r="M70" i="6"/>
  <c r="L70" i="6"/>
  <c r="K70" i="6"/>
  <c r="J70" i="6"/>
  <c r="O69" i="6"/>
  <c r="N69" i="6"/>
  <c r="M69" i="6"/>
  <c r="L69" i="6"/>
  <c r="K69" i="6"/>
  <c r="J69" i="6"/>
  <c r="O68" i="6"/>
  <c r="N68" i="6"/>
  <c r="M68" i="6"/>
  <c r="L68" i="6"/>
  <c r="K68" i="6"/>
  <c r="J68" i="6"/>
  <c r="O67" i="6"/>
  <c r="N67" i="6"/>
  <c r="M67" i="6"/>
  <c r="L67" i="6"/>
  <c r="K67" i="6"/>
  <c r="J67" i="6"/>
  <c r="O66" i="6"/>
  <c r="N66" i="6"/>
  <c r="M66" i="6"/>
  <c r="L66" i="6"/>
  <c r="K66" i="6"/>
  <c r="J66" i="6"/>
  <c r="O65" i="6"/>
  <c r="N65" i="6"/>
  <c r="M65" i="6"/>
  <c r="L65" i="6"/>
  <c r="K65" i="6"/>
  <c r="J65" i="6"/>
  <c r="O64" i="6"/>
  <c r="N64" i="6"/>
  <c r="M64" i="6"/>
  <c r="L64" i="6"/>
  <c r="K64" i="6"/>
  <c r="J64" i="6"/>
  <c r="O63" i="6"/>
  <c r="N63" i="6"/>
  <c r="M63" i="6"/>
  <c r="L63" i="6"/>
  <c r="K63" i="6"/>
  <c r="J63" i="6"/>
  <c r="O62" i="6"/>
  <c r="N62" i="6"/>
  <c r="M62" i="6"/>
  <c r="L62" i="6"/>
  <c r="K62" i="6"/>
  <c r="J62" i="6"/>
  <c r="O61" i="6"/>
  <c r="N61" i="6"/>
  <c r="M61" i="6"/>
  <c r="L61" i="6"/>
  <c r="K61" i="6"/>
  <c r="J61" i="6"/>
  <c r="O60" i="6"/>
  <c r="N60" i="6"/>
  <c r="M60" i="6"/>
  <c r="L60" i="6"/>
  <c r="K60" i="6"/>
  <c r="J60" i="6"/>
  <c r="O59" i="6"/>
  <c r="N59" i="6"/>
  <c r="M59" i="6"/>
  <c r="L59" i="6"/>
  <c r="K59" i="6"/>
  <c r="J59" i="6"/>
  <c r="O58" i="6"/>
  <c r="N58" i="6"/>
  <c r="M58" i="6"/>
  <c r="L58" i="6"/>
  <c r="K58" i="6"/>
  <c r="J58" i="6"/>
  <c r="O57" i="6"/>
  <c r="N57" i="6"/>
  <c r="M57" i="6"/>
  <c r="L57" i="6"/>
  <c r="K57" i="6"/>
  <c r="J57" i="6"/>
  <c r="O56" i="6"/>
  <c r="N56" i="6"/>
  <c r="M56" i="6"/>
  <c r="L56" i="6"/>
  <c r="K56" i="6"/>
  <c r="J56" i="6"/>
  <c r="O55" i="6"/>
  <c r="N55" i="6"/>
  <c r="M55" i="6"/>
  <c r="L55" i="6"/>
  <c r="K55" i="6"/>
  <c r="J55" i="6"/>
  <c r="O54" i="6"/>
  <c r="N54" i="6"/>
  <c r="M54" i="6"/>
  <c r="L54" i="6"/>
  <c r="K54" i="6"/>
  <c r="J54" i="6"/>
  <c r="O53" i="6"/>
  <c r="N53" i="6"/>
  <c r="M53" i="6"/>
  <c r="L53" i="6"/>
  <c r="K53" i="6"/>
  <c r="J53" i="6"/>
  <c r="O52" i="6"/>
  <c r="N52" i="6"/>
  <c r="M52" i="6"/>
  <c r="L52" i="6"/>
  <c r="K52" i="6"/>
  <c r="J52" i="6"/>
  <c r="O51" i="6"/>
  <c r="N51" i="6"/>
  <c r="M51" i="6"/>
  <c r="L51" i="6"/>
  <c r="K51" i="6"/>
  <c r="J51" i="6"/>
  <c r="O50" i="6"/>
  <c r="N50" i="6"/>
  <c r="M50" i="6"/>
  <c r="L50" i="6"/>
  <c r="K50" i="6"/>
  <c r="J50" i="6"/>
  <c r="O49" i="6"/>
  <c r="N49" i="6"/>
  <c r="M49" i="6"/>
  <c r="L49" i="6"/>
  <c r="K49" i="6"/>
  <c r="J49" i="6"/>
  <c r="O48" i="6"/>
  <c r="N48" i="6"/>
  <c r="M48" i="6"/>
  <c r="L48" i="6"/>
  <c r="K48" i="6"/>
  <c r="J48" i="6"/>
  <c r="O47" i="6"/>
  <c r="N47" i="6"/>
  <c r="M47" i="6"/>
  <c r="L47" i="6"/>
  <c r="K47" i="6"/>
  <c r="J47" i="6"/>
  <c r="O46" i="6"/>
  <c r="N46" i="6"/>
  <c r="M46" i="6"/>
  <c r="L46" i="6"/>
  <c r="K46" i="6"/>
  <c r="J46" i="6"/>
  <c r="O45" i="6"/>
  <c r="N45" i="6"/>
  <c r="M45" i="6"/>
  <c r="L45" i="6"/>
  <c r="K45" i="6"/>
  <c r="J45" i="6"/>
  <c r="O44" i="6"/>
  <c r="N44" i="6"/>
  <c r="M44" i="6"/>
  <c r="L44" i="6"/>
  <c r="K44" i="6"/>
  <c r="J44" i="6"/>
  <c r="O43" i="6"/>
  <c r="N43" i="6"/>
  <c r="M43" i="6"/>
  <c r="L43" i="6"/>
  <c r="K43" i="6"/>
  <c r="J43" i="6"/>
  <c r="O42" i="6"/>
  <c r="N42" i="6"/>
  <c r="M42" i="6"/>
  <c r="L42" i="6"/>
  <c r="K42" i="6"/>
  <c r="J42" i="6"/>
  <c r="O41" i="6"/>
  <c r="N41" i="6"/>
  <c r="M41" i="6"/>
  <c r="L41" i="6"/>
  <c r="K41" i="6"/>
  <c r="J41" i="6"/>
  <c r="O40" i="6"/>
  <c r="N40" i="6"/>
  <c r="M40" i="6"/>
  <c r="L40" i="6"/>
  <c r="K40" i="6"/>
  <c r="J40" i="6"/>
  <c r="O39" i="6"/>
  <c r="N39" i="6"/>
  <c r="M39" i="6"/>
  <c r="L39" i="6"/>
  <c r="K39" i="6"/>
  <c r="J39" i="6"/>
  <c r="O38" i="6"/>
  <c r="N38" i="6"/>
  <c r="M38" i="6"/>
  <c r="L38" i="6"/>
  <c r="K38" i="6"/>
  <c r="J38" i="6"/>
  <c r="O37" i="6"/>
  <c r="N37" i="6"/>
  <c r="M37" i="6"/>
  <c r="L37" i="6"/>
  <c r="K37" i="6"/>
  <c r="J37" i="6"/>
  <c r="O36" i="6"/>
  <c r="N36" i="6"/>
  <c r="M36" i="6"/>
  <c r="L36" i="6"/>
  <c r="K36" i="6"/>
  <c r="J36" i="6"/>
  <c r="O35" i="6"/>
  <c r="N35" i="6"/>
  <c r="M35" i="6"/>
  <c r="L35" i="6"/>
  <c r="K35" i="6"/>
  <c r="J35" i="6"/>
  <c r="O34" i="6"/>
  <c r="N34" i="6"/>
  <c r="M34" i="6"/>
  <c r="L34" i="6"/>
  <c r="K34" i="6"/>
  <c r="J34" i="6"/>
  <c r="O33" i="6"/>
  <c r="N33" i="6"/>
  <c r="M33" i="6"/>
  <c r="L33" i="6"/>
  <c r="K33" i="6"/>
  <c r="J33" i="6"/>
  <c r="O32" i="6"/>
  <c r="N32" i="6"/>
  <c r="M32" i="6"/>
  <c r="L32" i="6"/>
  <c r="K32" i="6"/>
  <c r="J32" i="6"/>
  <c r="O31" i="6"/>
  <c r="N31" i="6"/>
  <c r="M31" i="6"/>
  <c r="L31" i="6"/>
  <c r="K31" i="6"/>
  <c r="J31" i="6"/>
  <c r="O30" i="6"/>
  <c r="N30" i="6"/>
  <c r="M30" i="6"/>
  <c r="L30" i="6"/>
  <c r="K30" i="6"/>
  <c r="J30" i="6"/>
  <c r="O29" i="6"/>
  <c r="N29" i="6"/>
  <c r="M29" i="6"/>
  <c r="L29" i="6"/>
  <c r="K29" i="6"/>
  <c r="J29" i="6"/>
  <c r="O28" i="6"/>
  <c r="N28" i="6"/>
  <c r="M28" i="6"/>
  <c r="L28" i="6"/>
  <c r="K28" i="6"/>
  <c r="J28" i="6"/>
  <c r="O27" i="6"/>
  <c r="N27" i="6"/>
  <c r="M27" i="6"/>
  <c r="L27" i="6"/>
  <c r="K27" i="6"/>
  <c r="J27" i="6"/>
  <c r="O26" i="6"/>
  <c r="N26" i="6"/>
  <c r="M26" i="6"/>
  <c r="L26" i="6"/>
  <c r="K26" i="6"/>
  <c r="J26" i="6"/>
  <c r="O25" i="6"/>
  <c r="N25" i="6"/>
  <c r="M25" i="6"/>
  <c r="L25" i="6"/>
  <c r="K25" i="6"/>
  <c r="J25" i="6"/>
  <c r="O24" i="6"/>
  <c r="N24" i="6"/>
  <c r="M24" i="6"/>
  <c r="L24" i="6"/>
  <c r="K24" i="6"/>
  <c r="J24" i="6"/>
  <c r="O23" i="6"/>
  <c r="N23" i="6"/>
  <c r="M23" i="6"/>
  <c r="L23" i="6"/>
  <c r="K23" i="6"/>
  <c r="J23" i="6"/>
  <c r="O22" i="6"/>
  <c r="N22" i="6"/>
  <c r="M22" i="6"/>
  <c r="L22" i="6"/>
  <c r="K22" i="6"/>
  <c r="J22" i="6"/>
  <c r="O21" i="6"/>
  <c r="N21" i="6"/>
  <c r="M21" i="6"/>
  <c r="L21" i="6"/>
  <c r="K21" i="6"/>
  <c r="J21" i="6"/>
  <c r="O20" i="6"/>
  <c r="N20" i="6"/>
  <c r="M20" i="6"/>
  <c r="L20" i="6"/>
  <c r="K20" i="6"/>
  <c r="J20" i="6"/>
  <c r="O19" i="6"/>
  <c r="N19" i="6"/>
  <c r="M19" i="6"/>
  <c r="L19" i="6"/>
  <c r="K19" i="6"/>
  <c r="J19" i="6"/>
  <c r="O18" i="6"/>
  <c r="N18" i="6"/>
  <c r="M18" i="6"/>
  <c r="L18" i="6"/>
  <c r="K18" i="6"/>
  <c r="J18" i="6"/>
  <c r="O17" i="6"/>
  <c r="N17" i="6"/>
  <c r="M17" i="6"/>
  <c r="L17" i="6"/>
  <c r="K17" i="6"/>
  <c r="J17" i="6"/>
  <c r="O16" i="6"/>
  <c r="N16" i="6"/>
  <c r="M16" i="6"/>
  <c r="L16" i="6"/>
  <c r="K16" i="6"/>
  <c r="J16" i="6"/>
  <c r="O15" i="6"/>
  <c r="N15" i="6"/>
  <c r="M15" i="6"/>
  <c r="L15" i="6"/>
  <c r="K15" i="6"/>
  <c r="J15" i="6"/>
  <c r="O14" i="6"/>
  <c r="N14" i="6"/>
  <c r="M14" i="6"/>
  <c r="L14" i="6"/>
  <c r="K14" i="6"/>
  <c r="J14" i="6"/>
  <c r="O13" i="6"/>
  <c r="N13" i="6"/>
  <c r="M13" i="6"/>
  <c r="L13" i="6"/>
  <c r="K13" i="6"/>
  <c r="J13" i="6"/>
  <c r="O12" i="6"/>
  <c r="N12" i="6"/>
  <c r="M12" i="6"/>
  <c r="L12" i="6"/>
  <c r="K12" i="6"/>
  <c r="J12" i="6"/>
  <c r="O11" i="6"/>
  <c r="N11" i="6"/>
  <c r="M11" i="6"/>
  <c r="L11" i="6"/>
  <c r="K11" i="6"/>
  <c r="J11" i="6"/>
  <c r="O10" i="6"/>
  <c r="N10" i="6"/>
  <c r="M10" i="6"/>
  <c r="L10" i="6"/>
  <c r="K10" i="6"/>
  <c r="J10" i="6"/>
  <c r="O9" i="6"/>
  <c r="N9" i="6"/>
  <c r="M9" i="6"/>
  <c r="L9" i="6"/>
  <c r="K9" i="6"/>
  <c r="J9" i="6"/>
  <c r="O8" i="6"/>
  <c r="N8" i="6"/>
  <c r="M8" i="6"/>
  <c r="L8" i="6"/>
  <c r="K8" i="6"/>
  <c r="J8" i="6"/>
  <c r="O7" i="6"/>
  <c r="N7" i="6"/>
  <c r="M7" i="6"/>
  <c r="L7" i="6"/>
  <c r="K7" i="6"/>
  <c r="J7" i="6"/>
  <c r="O6" i="6"/>
  <c r="N6" i="6"/>
  <c r="M6" i="6"/>
  <c r="L6" i="6"/>
  <c r="K6" i="6"/>
  <c r="J6" i="6"/>
  <c r="O5" i="6"/>
  <c r="N5" i="6"/>
  <c r="M5" i="6"/>
  <c r="L5" i="6"/>
  <c r="K5" i="6"/>
  <c r="J5" i="6"/>
</calcChain>
</file>

<file path=xl/sharedStrings.xml><?xml version="1.0" encoding="utf-8"?>
<sst xmlns="http://schemas.openxmlformats.org/spreadsheetml/2006/main" count="291" uniqueCount="115">
  <si>
    <t>CONTROLE DIARIO DE TRAFEGO PAGO (PREENCHIMENTO DIARIO)</t>
  </si>
  <si>
    <t>Data</t>
  </si>
  <si>
    <t>Valor Investido</t>
  </si>
  <si>
    <t>Impressoes</t>
  </si>
  <si>
    <t>Alcance</t>
  </si>
  <si>
    <t>Cliques no Link</t>
  </si>
  <si>
    <t>Visualizacoes da Pagina</t>
  </si>
  <si>
    <t>Finalizacoes de Compra</t>
  </si>
  <si>
    <t>Compras</t>
  </si>
  <si>
    <t>Faturamento</t>
  </si>
  <si>
    <t>CPC</t>
  </si>
  <si>
    <t>CTR</t>
  </si>
  <si>
    <t>CPA</t>
  </si>
  <si>
    <t>ROAS</t>
  </si>
  <si>
    <t>Taxa Landing -&gt; Checkout</t>
  </si>
  <si>
    <t>Taxa Checkout -&gt; Compra</t>
  </si>
  <si>
    <t>Observacoes</t>
  </si>
  <si>
    <t>Campanha 1 ativa</t>
  </si>
  <si>
    <t>Subiu orcamento</t>
  </si>
  <si>
    <t>CPA subiu um pouco</t>
  </si>
  <si>
    <t>13/06/2026</t>
  </si>
  <si>
    <t>Queda na conversao</t>
  </si>
  <si>
    <t>14/06/2026</t>
  </si>
  <si>
    <t>Recuperacao de boletos</t>
  </si>
  <si>
    <t>15/06/2026</t>
  </si>
  <si>
    <t>Novo criativo adicionado</t>
  </si>
  <si>
    <t>16/06/2026</t>
  </si>
  <si>
    <t>Melhor dia do mes</t>
  </si>
  <si>
    <t>17/06/2026</t>
  </si>
  <si>
    <t>Instabilidade na tarde</t>
  </si>
  <si>
    <t>18/06/2026</t>
  </si>
  <si>
    <t>Escalando criativo B</t>
  </si>
  <si>
    <t>19/06/2026</t>
  </si>
  <si>
    <t>Excelente performance</t>
  </si>
  <si>
    <t>REGISTRO DE VENDAS</t>
  </si>
  <si>
    <t>Valor da Venda</t>
  </si>
  <si>
    <t>Produto</t>
  </si>
  <si>
    <t>Criativo Responsavel</t>
  </si>
  <si>
    <t>Campanha</t>
  </si>
  <si>
    <t>Faturamento Total</t>
  </si>
  <si>
    <t>Qtd Vendas</t>
  </si>
  <si>
    <t>Ticket Medio</t>
  </si>
  <si>
    <t>Guia Low Ticket</t>
  </si>
  <si>
    <t>Criativo A - Imagem Oferta</t>
  </si>
  <si>
    <t>Campanha Validacao</t>
  </si>
  <si>
    <t>Criativo B - Video Gancho 1</t>
  </si>
  <si>
    <t>Criativo C - Video Unboxing</t>
  </si>
  <si>
    <t>Criativo D - Imagem Depoimento</t>
  </si>
  <si>
    <t>Criativo E - Video Promocional</t>
  </si>
  <si>
    <t>CONTROLE DE CRIATIVOS</t>
  </si>
  <si>
    <t>Nome do Criativo</t>
  </si>
  <si>
    <t>Data de Inicio</t>
  </si>
  <si>
    <t>Status</t>
  </si>
  <si>
    <t>Cliques</t>
  </si>
  <si>
    <t>Classificacao</t>
  </si>
  <si>
    <t>Ativo</t>
  </si>
  <si>
    <t>Melhor para cliques de feed</t>
  </si>
  <si>
    <t>Gancho muito forte nos 3s</t>
  </si>
  <si>
    <t>Excelente engajamento e retencao</t>
  </si>
  <si>
    <t>Pausado</t>
  </si>
  <si>
    <t>Parado por CPA estourado no dia</t>
  </si>
  <si>
    <t>Visual moderno e dinamico</t>
  </si>
  <si>
    <t>Ranking de Criativos</t>
  </si>
  <si>
    <t>Posicao</t>
  </si>
  <si>
    <t>Criativo</t>
  </si>
  <si>
    <t>PAINEL EXECUTIVO - GESTAO DE TRAFEGO PAGO</t>
  </si>
  <si>
    <t>Investimento Total</t>
  </si>
  <si>
    <t>Lucro Bruto</t>
  </si>
  <si>
    <t>ROAS Medio</t>
  </si>
  <si>
    <t>Compras Totais</t>
  </si>
  <si>
    <t>CPA Medio</t>
  </si>
  <si>
    <t>Cliques Totais</t>
  </si>
  <si>
    <t>Tx. Landing -&gt; Checkout</t>
  </si>
  <si>
    <t>Tx. Checkout -&gt; Compra</t>
  </si>
  <si>
    <t>Metas Desejadas</t>
  </si>
  <si>
    <t>Meta ROAS</t>
  </si>
  <si>
    <t>Meta CPA Max</t>
  </si>
  <si>
    <t>Status ROAS</t>
  </si>
  <si>
    <t>Status CPA</t>
  </si>
  <si>
    <t>ANALISE DO FUNIL DE VENDAS</t>
  </si>
  <si>
    <t>Etapa do Funil</t>
  </si>
  <si>
    <t>Volume Total</t>
  </si>
  <si>
    <t>Taxa da Etapa</t>
  </si>
  <si>
    <t>Taxa Acumulada</t>
  </si>
  <si>
    <t>Alerta / Diagnostico Operacional</t>
  </si>
  <si>
    <t>1. Impressoes</t>
  </si>
  <si>
    <t>2. Cliques no Link</t>
  </si>
  <si>
    <t>3. Visualizacoes da Pagina</t>
  </si>
  <si>
    <t>4. Finalizacoes de Compra</t>
  </si>
  <si>
    <t>5. Compras Realizadas</t>
  </si>
  <si>
    <t>Volume de entrada do funil</t>
  </si>
  <si>
    <t>HISTORICO E REGISTRO DE ESCALA</t>
  </si>
  <si>
    <t>Orcamento Anterior</t>
  </si>
  <si>
    <t>Novo Orcamento</t>
  </si>
  <si>
    <t>Percentual de Escala</t>
  </si>
  <si>
    <t>Motivo da Alteracao</t>
  </si>
  <si>
    <t>Resultado Apos Escala</t>
  </si>
  <si>
    <t>ROI Alto</t>
  </si>
  <si>
    <t>Positivo (Manteve ROI)</t>
  </si>
  <si>
    <t>CPA estavel sob R$ 15</t>
  </si>
  <si>
    <t>Escala vertical bem sucedida</t>
  </si>
  <si>
    <t>CPA Abaixo da Meta</t>
  </si>
  <si>
    <t>Neutro (CPA aceitavel)</t>
  </si>
  <si>
    <t>Subiu orcamento de seguranca</t>
  </si>
  <si>
    <t>INSIGHTS OPERACIONAIS AUTOMATICOS</t>
  </si>
  <si>
    <t>Area de Analise</t>
  </si>
  <si>
    <t>Diagnostico</t>
  </si>
  <si>
    <t>Recomendacao Operacional</t>
  </si>
  <si>
    <t>CPA vs Meta</t>
  </si>
  <si>
    <t>ROAS vs Meta</t>
  </si>
  <si>
    <t>Conversao de Checkout</t>
  </si>
  <si>
    <t>Conversao de Landing Page</t>
  </si>
  <si>
    <t>Atratividade dos Criativos</t>
  </si>
  <si>
    <t>Tendencia de CPA</t>
  </si>
  <si>
    <t>Criativo Destaque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</si>
</sst>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\y\y\y\y"/>
    <numFmt numFmtId="165" formatCode="&quot;R$&quot;\ #.##000"/>
    <numFmt numFmtId="166" formatCode="#.##0"/>
    <numFmt numFmtId="167" formatCode="#,#00%"/>
    <numFmt numFmtId="168" formatCode="#,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4"/>
      <color rgb="FFFFFFFF"/>
      <name val="Segoe UI"/>
      <family val="2"/>
    </font>
    <font>
      <b/>
      <sz val="11"/>
      <color rgb="FFFFFFFF"/>
      <name val="Segoe UI"/>
      <family val="2"/>
    </font>
    <font>
      <sz val="11"/>
      <color rgb="FFFFFFFF"/>
      <name val="Calibri"/>
      <family val="2"/>
      <scheme val="minor"/>
    </font>
    <font>
      <sz val="11"/>
      <color rgb="FFFFFFFF"/>
      <name val="Segoe UI"/>
      <family val="2"/>
    </font>
    <font>
      <b/>
      <sz val="9"/>
      <color rgb="FF4B5563"/>
      <name val="Segoe UI"/>
      <family val="2"/>
    </font>
    <font>
      <b/>
      <sz val="13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2" borderId="0" xfId="0" applyFont="1" applyFill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4" fillId="2" borderId="0" xfId="0" applyFont="1" applyFill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/>
    <xf numFmtId="166" fontId="1" fillId="0" borderId="0" xfId="0" applyNumberFormat="1" applyFont="1"/>
    <xf numFmtId="0" fontId="1" fillId="0" borderId="0" xfId="0" applyFont="1" applyAlignment="1">
      <alignment horizontal="left"/>
    </xf>
    <xf numFmtId="167" fontId="1" fillId="0" borderId="0" xfId="0" applyNumberFormat="1" applyFont="1"/>
    <xf numFmtId="168" fontId="1" fillId="0" borderId="0" xfId="0" applyNumberFormat="1" applyFont="1"/>
    <xf numFmtId="164" fontId="1" fillId="0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5" fillId="0" borderId="0" xfId="0" applyFont="1"/>
    <xf numFmtId="0" fontId="6" fillId="0" borderId="0" xfId="0" applyFont="1"/>
    <xf numFmtId="0" fontId="4" fillId="2" borderId="0" xfId="0" applyFont="1" applyFill="1" applyAlignment="1">
      <alignment horizontal="center" vertical="center"/>
    </xf>
    <xf numFmtId="168" fontId="1" fillId="0" borderId="1" xfId="0" applyNumberFormat="1" applyFont="1" applyFill="1" applyBorder="1" applyAlignment="1">
      <alignment horizontal="center"/>
    </xf>
    <xf numFmtId="165" fontId="1" fillId="0" borderId="1" xfId="0" applyNumberFormat="1" applyFont="1" applyFill="1" applyBorder="1" applyAlignment="1">
      <alignment horizontal="right"/>
    </xf>
    <xf numFmtId="0" fontId="7" fillId="4" borderId="1" xfId="0" applyFont="1" applyFill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168" fontId="8" fillId="0" borderId="1" xfId="0" applyNumberFormat="1" applyFont="1" applyBorder="1" applyAlignment="1">
      <alignment horizontal="center"/>
    </xf>
    <xf numFmtId="166" fontId="8" fillId="0" borderId="1" xfId="0" applyNumberFormat="1" applyFont="1" applyBorder="1" applyAlignment="1">
      <alignment horizontal="center"/>
    </xf>
    <xf numFmtId="167" fontId="8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168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6" fontId="1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center"/>
    </xf>
    <xf numFmtId="0" fontId="2" fillId="0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14">
    <dxf>
      <font>
        <color rgb="FF065F46"/>
      </font>
      <fill>
        <patternFill>
          <bgColor rgb="FFD1FAE5"/>
        </patternFill>
      </fill>
    </dxf>
    <dxf>
      <font>
        <color rgb="FF92400E"/>
      </font>
      <fill>
        <patternFill>
          <bgColor rgb="FFFEF3C7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065F46"/>
      </font>
      <fill>
        <patternFill>
          <bgColor rgb="FFD1FAE5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92400E"/>
      </font>
      <fill>
        <patternFill>
          <bgColor rgb="FFFEF3C7"/>
        </patternFill>
      </fill>
    </dxf>
    <dxf>
      <font>
        <color rgb="FF065F46"/>
      </font>
      <fill>
        <patternFill>
          <bgColor rgb="FFD1FAE5"/>
        </patternFill>
      </fill>
    </dxf>
    <dxf>
      <font>
        <color rgb="FF065F46"/>
      </font>
      <fill>
        <patternFill>
          <bgColor rgb="FFD1FAE5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92400E"/>
      </font>
      <fill>
        <patternFill>
          <bgColor rgb="FFFEF3C7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92400E"/>
      </font>
      <fill>
        <patternFill>
          <bgColor rgb="FFFEF3C7"/>
        </patternFill>
      </fill>
    </dxf>
    <dxf>
      <font>
        <color rgb="FF065F46"/>
      </font>
      <fill>
        <patternFill>
          <bgColor rgb="FFD1FAE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>
                <a:latin typeface="Segoe UI"/>
                <a:ea typeface="Segoe UI"/>
                <a:cs typeface="Segoe UI"/>
              </a:defRPr>
            </a:pPr>
            <a:r>
              <a:rPr lang="en-US"/>
              <a:t>Evolucao Diaria de Gastos vs. Faturamento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'Controle Diario'!$B$4</c:f>
              <c:strCache>
                <c:ptCount val="1"/>
                <c:pt idx="0">
                  <c:v>Valor Investido</c:v>
                </c:pt>
              </c:strCache>
            </c:strRef>
          </c:tx>
          <c:marker>
            <c:symbol val="none"/>
          </c:marker>
          <c:cat>
            <c:strRef>
              <c:f>'Controle Diario'!$A$5:$A$14</c:f>
              <c:strCache>
                <c:ptCount val="10"/>
                <c:pt idx="0">
                  <c:v>06/10/yyyy</c:v>
                </c:pt>
                <c:pt idx="1">
                  <c:v>06/11/yyyy</c:v>
                </c:pt>
                <c:pt idx="2">
                  <c:v>06/12/yyyy</c:v>
                </c:pt>
                <c:pt idx="3">
                  <c:v>13/06/2026</c:v>
                </c:pt>
                <c:pt idx="4">
                  <c:v>14/06/2026</c:v>
                </c:pt>
                <c:pt idx="5">
                  <c:v>15/06/2026</c:v>
                </c:pt>
                <c:pt idx="6">
                  <c:v>16/06/2026</c:v>
                </c:pt>
                <c:pt idx="7">
                  <c:v>17/06/2026</c:v>
                </c:pt>
                <c:pt idx="8">
                  <c:v>18/06/2026</c:v>
                </c:pt>
                <c:pt idx="9">
                  <c:v>19/06/2026</c:v>
                </c:pt>
              </c:strCache>
            </c:strRef>
          </c:cat>
          <c:val>
            <c:numRef>
              <c:f>'Controle Diario'!$B$5:$B$14</c:f>
              <c:numCache>
                <c:formatCode>"R$"\ #.##000</c:formatCode>
                <c:ptCount val="10"/>
                <c:pt idx="0">
                  <c:v>50</c:v>
                </c:pt>
                <c:pt idx="1">
                  <c:v>60</c:v>
                </c:pt>
                <c:pt idx="2">
                  <c:v>75</c:v>
                </c:pt>
                <c:pt idx="3">
                  <c:v>75</c:v>
                </c:pt>
                <c:pt idx="4">
                  <c:v>75</c:v>
                </c:pt>
                <c:pt idx="5">
                  <c:v>100</c:v>
                </c:pt>
                <c:pt idx="6">
                  <c:v>100</c:v>
                </c:pt>
                <c:pt idx="7">
                  <c:v>120</c:v>
                </c:pt>
                <c:pt idx="8">
                  <c:v>120</c:v>
                </c:pt>
                <c:pt idx="9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E0-4F2E-90F8-976358C757EC}"/>
            </c:ext>
          </c:extLst>
        </c:ser>
        <c:ser>
          <c:idx val="1"/>
          <c:order val="1"/>
          <c:tx>
            <c:strRef>
              <c:f>'Controle Diario'!$I$4</c:f>
              <c:strCache>
                <c:ptCount val="1"/>
                <c:pt idx="0">
                  <c:v>Faturamento</c:v>
                </c:pt>
              </c:strCache>
            </c:strRef>
          </c:tx>
          <c:marker>
            <c:symbol val="none"/>
          </c:marker>
          <c:cat>
            <c:strRef>
              <c:f>'Controle Diario'!$A$5:$A$14</c:f>
              <c:strCache>
                <c:ptCount val="10"/>
                <c:pt idx="0">
                  <c:v>06/10/yyyy</c:v>
                </c:pt>
                <c:pt idx="1">
                  <c:v>06/11/yyyy</c:v>
                </c:pt>
                <c:pt idx="2">
                  <c:v>06/12/yyyy</c:v>
                </c:pt>
                <c:pt idx="3">
                  <c:v>13/06/2026</c:v>
                </c:pt>
                <c:pt idx="4">
                  <c:v>14/06/2026</c:v>
                </c:pt>
                <c:pt idx="5">
                  <c:v>15/06/2026</c:v>
                </c:pt>
                <c:pt idx="6">
                  <c:v>16/06/2026</c:v>
                </c:pt>
                <c:pt idx="7">
                  <c:v>17/06/2026</c:v>
                </c:pt>
                <c:pt idx="8">
                  <c:v>18/06/2026</c:v>
                </c:pt>
                <c:pt idx="9">
                  <c:v>19/06/2026</c:v>
                </c:pt>
              </c:strCache>
            </c:strRef>
          </c:cat>
          <c:val>
            <c:numRef>
              <c:f>'Controle Diario'!$I$5:$I$14</c:f>
              <c:numCache>
                <c:formatCode>"R$"\ #.##000</c:formatCode>
                <c:ptCount val="10"/>
                <c:pt idx="0">
                  <c:v>94</c:v>
                </c:pt>
                <c:pt idx="1">
                  <c:v>141</c:v>
                </c:pt>
                <c:pt idx="2">
                  <c:v>94</c:v>
                </c:pt>
                <c:pt idx="3">
                  <c:v>47</c:v>
                </c:pt>
                <c:pt idx="4">
                  <c:v>188</c:v>
                </c:pt>
                <c:pt idx="5">
                  <c:v>235</c:v>
                </c:pt>
                <c:pt idx="6">
                  <c:v>282</c:v>
                </c:pt>
                <c:pt idx="7">
                  <c:v>141</c:v>
                </c:pt>
                <c:pt idx="8">
                  <c:v>235</c:v>
                </c:pt>
                <c:pt idx="9">
                  <c:v>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E0-4F2E-90F8-976358C75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9561423"/>
        <c:axId val="2029550383"/>
      </c:lineChart>
      <c:catAx>
        <c:axId val="202956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29550383"/>
        <c:crosses val="autoZero"/>
        <c:auto val="1"/>
        <c:lblAlgn val="ctr"/>
        <c:lblOffset val="100"/>
        <c:noMultiLvlLbl val="0"/>
      </c:catAx>
      <c:valAx>
        <c:axId val="2029550383"/>
        <c:scaling>
          <c:orientation val="minMax"/>
        </c:scaling>
        <c:delete val="0"/>
        <c:axPos val="l"/>
        <c:majorGridlines/>
        <c:numFmt formatCode="&quot;R$&quot;\ #.##000" sourceLinked="1"/>
        <c:majorTickMark val="out"/>
        <c:minorTickMark val="none"/>
        <c:tickLblPos val="nextTo"/>
        <c:crossAx val="202956142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>
                <a:latin typeface="Segoe UI"/>
                <a:ea typeface="Segoe UI"/>
                <a:cs typeface="Segoe UI"/>
              </a:defRPr>
            </a:pPr>
            <a:r>
              <a:rPr lang="en-US"/>
              <a:t>Evolucao Diaria de Compras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'Controle Diario'!$H$4</c:f>
              <c:strCache>
                <c:ptCount val="1"/>
                <c:pt idx="0">
                  <c:v>Compras</c:v>
                </c:pt>
              </c:strCache>
            </c:strRef>
          </c:tx>
          <c:invertIfNegative val="0"/>
          <c:cat>
            <c:strRef>
              <c:f>'Controle Diario'!$A$5:$A$14</c:f>
              <c:strCache>
                <c:ptCount val="10"/>
                <c:pt idx="0">
                  <c:v>06/10/yyyy</c:v>
                </c:pt>
                <c:pt idx="1">
                  <c:v>06/11/yyyy</c:v>
                </c:pt>
                <c:pt idx="2">
                  <c:v>06/12/yyyy</c:v>
                </c:pt>
                <c:pt idx="3">
                  <c:v>13/06/2026</c:v>
                </c:pt>
                <c:pt idx="4">
                  <c:v>14/06/2026</c:v>
                </c:pt>
                <c:pt idx="5">
                  <c:v>15/06/2026</c:v>
                </c:pt>
                <c:pt idx="6">
                  <c:v>16/06/2026</c:v>
                </c:pt>
                <c:pt idx="7">
                  <c:v>17/06/2026</c:v>
                </c:pt>
                <c:pt idx="8">
                  <c:v>18/06/2026</c:v>
                </c:pt>
                <c:pt idx="9">
                  <c:v>19/06/2026</c:v>
                </c:pt>
              </c:strCache>
            </c:strRef>
          </c:cat>
          <c:val>
            <c:numRef>
              <c:f>'Controle Diario'!$H$5:$H$14</c:f>
              <c:numCache>
                <c:formatCode>#.##0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3</c:v>
                </c:pt>
                <c:pt idx="8">
                  <c:v>5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6B-44C6-B573-821D3C63D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9576303"/>
        <c:axId val="2029581103"/>
      </c:barChart>
      <c:catAx>
        <c:axId val="20295763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29581103"/>
        <c:crosses val="autoZero"/>
        <c:auto val="1"/>
        <c:lblAlgn val="ctr"/>
        <c:lblOffset val="100"/>
        <c:noMultiLvlLbl val="0"/>
      </c:catAx>
      <c:valAx>
        <c:axId val="2029581103"/>
        <c:scaling>
          <c:orientation val="minMax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202957630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>
                <a:latin typeface="Segoe UI"/>
                <a:ea typeface="Segoe UI"/>
                <a:cs typeface="Segoe UI"/>
              </a:defRPr>
            </a:pPr>
            <a:r>
              <a:rPr lang="pt-BR"/>
              <a:t>Tendencia de CPA vs. ROAS Diario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'Controle Diario'!$L$4</c:f>
              <c:strCache>
                <c:ptCount val="1"/>
                <c:pt idx="0">
                  <c:v>CPA</c:v>
                </c:pt>
              </c:strCache>
            </c:strRef>
          </c:tx>
          <c:marker>
            <c:symbol val="none"/>
          </c:marker>
          <c:cat>
            <c:strRef>
              <c:f>'Controle Diario'!$A$5:$A$14</c:f>
              <c:strCache>
                <c:ptCount val="10"/>
                <c:pt idx="0">
                  <c:v>06/10/yyyy</c:v>
                </c:pt>
                <c:pt idx="1">
                  <c:v>06/11/yyyy</c:v>
                </c:pt>
                <c:pt idx="2">
                  <c:v>06/12/yyyy</c:v>
                </c:pt>
                <c:pt idx="3">
                  <c:v>13/06/2026</c:v>
                </c:pt>
                <c:pt idx="4">
                  <c:v>14/06/2026</c:v>
                </c:pt>
                <c:pt idx="5">
                  <c:v>15/06/2026</c:v>
                </c:pt>
                <c:pt idx="6">
                  <c:v>16/06/2026</c:v>
                </c:pt>
                <c:pt idx="7">
                  <c:v>17/06/2026</c:v>
                </c:pt>
                <c:pt idx="8">
                  <c:v>18/06/2026</c:v>
                </c:pt>
                <c:pt idx="9">
                  <c:v>19/06/2026</c:v>
                </c:pt>
              </c:strCache>
            </c:strRef>
          </c:cat>
          <c:val>
            <c:numRef>
              <c:f>'Controle Diario'!$L$5:$L$14</c:f>
              <c:numCache>
                <c:formatCode>"R$"\ #.##000</c:formatCode>
                <c:ptCount val="10"/>
                <c:pt idx="0">
                  <c:v>25</c:v>
                </c:pt>
                <c:pt idx="1">
                  <c:v>20</c:v>
                </c:pt>
                <c:pt idx="2">
                  <c:v>37.5</c:v>
                </c:pt>
                <c:pt idx="3">
                  <c:v>75</c:v>
                </c:pt>
                <c:pt idx="4">
                  <c:v>18.75</c:v>
                </c:pt>
                <c:pt idx="5">
                  <c:v>20</c:v>
                </c:pt>
                <c:pt idx="6">
                  <c:v>16.666666666666668</c:v>
                </c:pt>
                <c:pt idx="7">
                  <c:v>40</c:v>
                </c:pt>
                <c:pt idx="8">
                  <c:v>24</c:v>
                </c:pt>
                <c:pt idx="9">
                  <c:v>18.75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01-434E-9B08-6066F254E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9571503"/>
        <c:axId val="2029578223"/>
      </c:lineChart>
      <c:lineChart>
        <c:grouping val="standard"/>
        <c:varyColors val="0"/>
        <c:ser>
          <c:idx val="1"/>
          <c:order val="1"/>
          <c:tx>
            <c:strRef>
              <c:f>'Controle Diario'!$M$4</c:f>
              <c:strCache>
                <c:ptCount val="1"/>
                <c:pt idx="0">
                  <c:v>ROAS</c:v>
                </c:pt>
              </c:strCache>
            </c:strRef>
          </c:tx>
          <c:marker>
            <c:symbol val="none"/>
          </c:marker>
          <c:cat>
            <c:strRef>
              <c:f>'Controle Diario'!$A$5:$A$14</c:f>
              <c:strCache>
                <c:ptCount val="10"/>
                <c:pt idx="0">
                  <c:v>06/10/yyyy</c:v>
                </c:pt>
                <c:pt idx="1">
                  <c:v>06/11/yyyy</c:v>
                </c:pt>
                <c:pt idx="2">
                  <c:v>06/12/yyyy</c:v>
                </c:pt>
                <c:pt idx="3">
                  <c:v>13/06/2026</c:v>
                </c:pt>
                <c:pt idx="4">
                  <c:v>14/06/2026</c:v>
                </c:pt>
                <c:pt idx="5">
                  <c:v>15/06/2026</c:v>
                </c:pt>
                <c:pt idx="6">
                  <c:v>16/06/2026</c:v>
                </c:pt>
                <c:pt idx="7">
                  <c:v>17/06/2026</c:v>
                </c:pt>
                <c:pt idx="8">
                  <c:v>18/06/2026</c:v>
                </c:pt>
                <c:pt idx="9">
                  <c:v>19/06/2026</c:v>
                </c:pt>
              </c:strCache>
            </c:strRef>
          </c:cat>
          <c:val>
            <c:numRef>
              <c:f>'Controle Diario'!$M$5:$M$14</c:f>
              <c:numCache>
                <c:formatCode>#,000</c:formatCode>
                <c:ptCount val="10"/>
                <c:pt idx="0">
                  <c:v>1.88</c:v>
                </c:pt>
                <c:pt idx="1">
                  <c:v>2.35</c:v>
                </c:pt>
                <c:pt idx="2">
                  <c:v>1.2533333333333334</c:v>
                </c:pt>
                <c:pt idx="3">
                  <c:v>0.62666666666666671</c:v>
                </c:pt>
                <c:pt idx="4">
                  <c:v>2.5066666666666668</c:v>
                </c:pt>
                <c:pt idx="5">
                  <c:v>2.35</c:v>
                </c:pt>
                <c:pt idx="6">
                  <c:v>2.82</c:v>
                </c:pt>
                <c:pt idx="7">
                  <c:v>1.175</c:v>
                </c:pt>
                <c:pt idx="8">
                  <c:v>1.9583333333333333</c:v>
                </c:pt>
                <c:pt idx="9">
                  <c:v>2.5066666666666668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01-434E-9B08-6066F254E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9568623"/>
        <c:axId val="2029572463"/>
      </c:lineChart>
      <c:catAx>
        <c:axId val="20295715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29578223"/>
        <c:crosses val="autoZero"/>
        <c:auto val="1"/>
        <c:lblAlgn val="ctr"/>
        <c:lblOffset val="100"/>
        <c:noMultiLvlLbl val="0"/>
      </c:catAx>
      <c:valAx>
        <c:axId val="2029578223"/>
        <c:scaling>
          <c:orientation val="minMax"/>
        </c:scaling>
        <c:delete val="0"/>
        <c:axPos val="l"/>
        <c:majorGridlines/>
        <c:numFmt formatCode="&quot;R$&quot;\ #.##000" sourceLinked="1"/>
        <c:majorTickMark val="out"/>
        <c:minorTickMark val="none"/>
        <c:tickLblPos val="nextTo"/>
        <c:crossAx val="2029571503"/>
        <c:crosses val="autoZero"/>
        <c:crossBetween val="between"/>
      </c:valAx>
      <c:valAx>
        <c:axId val="2029572463"/>
        <c:scaling>
          <c:orientation val="minMax"/>
        </c:scaling>
        <c:delete val="0"/>
        <c:axPos val="r"/>
        <c:numFmt formatCode="#,000" sourceLinked="1"/>
        <c:majorTickMark val="out"/>
        <c:minorTickMark val="none"/>
        <c:tickLblPos val="nextTo"/>
        <c:crossAx val="2029568623"/>
        <c:crosses val="max"/>
        <c:crossBetween val="between"/>
      </c:valAx>
      <c:catAx>
        <c:axId val="20295686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29572463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>
                <a:latin typeface="Segoe UI"/>
                <a:ea typeface="Segoe UI"/>
                <a:cs typeface="Segoe UI"/>
              </a:defRPr>
            </a:pPr>
            <a:r>
              <a:rPr lang="en-US"/>
              <a:t>Evolucao do Orcamento de Escala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'Historico de Escala'!$D$4</c:f>
              <c:strCache>
                <c:ptCount val="1"/>
                <c:pt idx="0">
                  <c:v>Novo Orcamento</c:v>
                </c:pt>
              </c:strCache>
            </c:strRef>
          </c:tx>
          <c:invertIfNegative val="0"/>
          <c:cat>
            <c:multiLvlStrRef>
              <c:f>'Historico de Escala'!$A$5:$B$7</c:f>
              <c:multiLvlStrCache>
                <c:ptCount val="3"/>
                <c:lvl>
                  <c:pt idx="0">
                    <c:v>Campanha Validacao</c:v>
                  </c:pt>
                  <c:pt idx="1">
                    <c:v>Campanha Validacao</c:v>
                  </c:pt>
                  <c:pt idx="2">
                    <c:v>Campanha Validacao</c:v>
                  </c:pt>
                </c:lvl>
                <c:lvl>
                  <c:pt idx="0">
                    <c:v>06/12/yyyy</c:v>
                  </c:pt>
                  <c:pt idx="1">
                    <c:v>15/06/2026</c:v>
                  </c:pt>
                  <c:pt idx="2">
                    <c:v>18/06/2026</c:v>
                  </c:pt>
                </c:lvl>
              </c:multiLvlStrCache>
            </c:multiLvlStrRef>
          </c:cat>
          <c:val>
            <c:numRef>
              <c:f>'Historico de Escala'!$D$5:$D$7</c:f>
              <c:numCache>
                <c:formatCode>"R$"\ #.##000</c:formatCode>
                <c:ptCount val="3"/>
                <c:pt idx="0">
                  <c:v>75</c:v>
                </c:pt>
                <c:pt idx="1">
                  <c:v>100</c:v>
                </c:pt>
                <c:pt idx="2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83-4E52-937B-987F7F775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9573903"/>
        <c:axId val="2029564783"/>
      </c:barChart>
      <c:catAx>
        <c:axId val="20295739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29564783"/>
        <c:crosses val="autoZero"/>
        <c:auto val="1"/>
        <c:lblAlgn val="ctr"/>
        <c:lblOffset val="100"/>
        <c:noMultiLvlLbl val="0"/>
      </c:catAx>
      <c:valAx>
        <c:axId val="2029564783"/>
        <c:scaling>
          <c:orientation val="minMax"/>
        </c:scaling>
        <c:delete val="0"/>
        <c:axPos val="l"/>
        <c:majorGridlines/>
        <c:numFmt formatCode="&quot;R$&quot;\ #.##000" sourceLinked="1"/>
        <c:majorTickMark val="out"/>
        <c:minorTickMark val="none"/>
        <c:tickLblPos val="nextTo"/>
        <c:crossAx val="202957390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12</xdr:row>
      <xdr:rowOff>187325</xdr:rowOff>
    </xdr:from>
    <xdr:to>
      <xdr:col>8</xdr:col>
      <xdr:colOff>215900</xdr:colOff>
      <xdr:row>28</xdr:row>
      <xdr:rowOff>187325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FF421E4-EC0C-17EA-4749-3A510D06AB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469900</xdr:colOff>
      <xdr:row>12</xdr:row>
      <xdr:rowOff>187325</xdr:rowOff>
    </xdr:from>
    <xdr:to>
      <xdr:col>17</xdr:col>
      <xdr:colOff>155575</xdr:colOff>
      <xdr:row>28</xdr:row>
      <xdr:rowOff>187325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F88BC3D-175F-E218-3519-09B235756F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254000</xdr:colOff>
      <xdr:row>29</xdr:row>
      <xdr:rowOff>123825</xdr:rowOff>
    </xdr:from>
    <xdr:to>
      <xdr:col>17</xdr:col>
      <xdr:colOff>155575</xdr:colOff>
      <xdr:row>45</xdr:row>
      <xdr:rowOff>123825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F12BA78-E470-6EE3-0F4B-B60620965D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9</xdr:row>
      <xdr:rowOff>95250</xdr:rowOff>
    </xdr:from>
    <xdr:to>
      <xdr:col>15</xdr:col>
      <xdr:colOff>206375</xdr:colOff>
      <xdr:row>24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F7BABA8-3E54-7DFC-49D6-9E0A51CD1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9C166-BDE3-4331-97D8-8AC101A071E0}">
  <dimension ref="B2:K11"/>
  <sheetViews>
    <sheetView workbookViewId="0"/>
  </sheetViews>
  <sheetFormatPr defaultRowHeight="15" x14ac:dyDescent="0.25"/>
  <cols>
    <col min="2" max="2" width="11" bestFit="1" customWidth="1"/>
    <col min="4" max="4" width="11" bestFit="1" customWidth="1"/>
    <col min="6" max="6" width="11" bestFit="1" customWidth="1"/>
    <col min="8" max="8" width="11" bestFit="1" customWidth="1"/>
    <col min="10" max="10" width="16.140625" bestFit="1" customWidth="1"/>
    <col min="11" max="11" width="11.5703125" bestFit="1" customWidth="1"/>
  </cols>
  <sheetData>
    <row r="2" spans="2:11" ht="35.1" customHeight="1" x14ac:dyDescent="0.25">
      <c r="B2" s="1" t="s">
        <v>65</v>
      </c>
      <c r="C2" s="1"/>
      <c r="D2" s="1"/>
      <c r="E2" s="1"/>
      <c r="F2" s="1"/>
      <c r="G2" s="1"/>
      <c r="H2" s="1"/>
      <c r="I2" s="1"/>
      <c r="J2" s="1"/>
      <c r="K2" s="1"/>
    </row>
    <row r="4" spans="2:11" ht="16.5" x14ac:dyDescent="0.3">
      <c r="B4" s="28" t="s">
        <v>66</v>
      </c>
      <c r="C4" s="28"/>
      <c r="D4" s="28" t="s">
        <v>39</v>
      </c>
      <c r="E4" s="28"/>
      <c r="F4" s="28" t="s">
        <v>67</v>
      </c>
      <c r="G4" s="28"/>
      <c r="H4" s="28" t="s">
        <v>68</v>
      </c>
      <c r="I4" s="28"/>
      <c r="J4" s="33" t="s">
        <v>74</v>
      </c>
      <c r="K4" s="33"/>
    </row>
    <row r="5" spans="2:11" ht="18.75" x14ac:dyDescent="0.35">
      <c r="B5" s="29" t="e">
        <f>SUM('Controle Diario'!B)</f>
        <v>#NAME?</v>
      </c>
      <c r="C5" s="29"/>
      <c r="D5" s="29" t="e">
        <f>SUM('Controle Diario'!I)</f>
        <v>#NAME?</v>
      </c>
      <c r="E5" s="29"/>
      <c r="F5" s="29" t="e">
        <f>D5-B5</f>
        <v>#NAME?</v>
      </c>
      <c r="G5" s="29"/>
      <c r="H5" s="30" t="e">
        <f>IF(B5&gt;0, D5/B5, 0)</f>
        <v>#NAME?</v>
      </c>
      <c r="I5" s="30"/>
      <c r="J5" s="34" t="s">
        <v>75</v>
      </c>
      <c r="K5" s="35">
        <v>2</v>
      </c>
    </row>
    <row r="6" spans="2:11" ht="16.5" x14ac:dyDescent="0.3">
      <c r="J6" s="34" t="s">
        <v>76</v>
      </c>
      <c r="K6" s="14">
        <v>20</v>
      </c>
    </row>
    <row r="7" spans="2:11" x14ac:dyDescent="0.25">
      <c r="B7" s="28" t="s">
        <v>69</v>
      </c>
      <c r="C7" s="28"/>
      <c r="D7" s="28" t="s">
        <v>70</v>
      </c>
      <c r="E7" s="28"/>
      <c r="F7" s="28" t="s">
        <v>41</v>
      </c>
      <c r="G7" s="28"/>
      <c r="H7" s="28" t="s">
        <v>71</v>
      </c>
      <c r="I7" s="28"/>
    </row>
    <row r="8" spans="2:11" ht="18.75" x14ac:dyDescent="0.35">
      <c r="B8" s="31" t="e">
        <f>SUM('Controle Diario'!H)</f>
        <v>#NAME?</v>
      </c>
      <c r="C8" s="31"/>
      <c r="D8" s="29" t="e">
        <f>IF(B8&gt;0, B5/B8, 0)</f>
        <v>#NAME?</v>
      </c>
      <c r="E8" s="29"/>
      <c r="F8" s="29" t="e">
        <f>IF(B8&gt;0, D5/B8, 0)</f>
        <v>#NAME?</v>
      </c>
      <c r="G8" s="29"/>
      <c r="H8" s="31" t="e">
        <f>SUM('Controle Diario'!E)</f>
        <v>#NAME?</v>
      </c>
      <c r="I8" s="31"/>
      <c r="J8" s="34" t="s">
        <v>77</v>
      </c>
      <c r="K8" s="36" t="e">
        <f>IF(H5&lt;1, _xlfn.UNICHAR(128992) &amp; " Acao", IF(H5&lt;K5, _xlfn.UNICHAR(128993) &amp; " Atencao", _xlfn.UNICHAR(128994) &amp; " OK"))</f>
        <v>#NAME?</v>
      </c>
    </row>
    <row r="9" spans="2:11" ht="16.5" x14ac:dyDescent="0.3">
      <c r="J9" s="34" t="s">
        <v>78</v>
      </c>
      <c r="K9" s="36" t="e">
        <f>IF(D8=0, "-", IF(D8&gt;K6*1.5, _xlfn.UNICHAR(128992) &amp; " Acao", IF(D8&gt;K6, _xlfn.UNICHAR(128993) &amp; " Atencao", _xlfn.UNICHAR(128994) &amp; " OK")))</f>
        <v>#NAME?</v>
      </c>
    </row>
    <row r="10" spans="2:11" x14ac:dyDescent="0.25">
      <c r="B10" s="28" t="s">
        <v>7</v>
      </c>
      <c r="C10" s="28"/>
      <c r="D10" s="28" t="s">
        <v>72</v>
      </c>
      <c r="E10" s="28"/>
      <c r="F10" s="28" t="s">
        <v>73</v>
      </c>
      <c r="G10" s="28"/>
    </row>
    <row r="11" spans="2:11" ht="18.75" x14ac:dyDescent="0.35">
      <c r="B11" s="31" t="e">
        <f>SUM('Controle Diario'!G)</f>
        <v>#NAME?</v>
      </c>
      <c r="C11" s="31"/>
      <c r="D11" s="32" t="e">
        <f>IF(SUM('Controle Diario'!F)&gt;0, B11/SUM('Controle Diario'!F), 0)</f>
        <v>#NAME?</v>
      </c>
      <c r="E11" s="32"/>
      <c r="F11" s="32" t="e">
        <f>IF(B11&gt;0, B8/B11, 0)</f>
        <v>#NAME?</v>
      </c>
      <c r="G11" s="32"/>
    </row>
  </sheetData>
  <mergeCells count="24">
    <mergeCell ref="H7:I7"/>
    <mergeCell ref="H8:I8"/>
    <mergeCell ref="B10:C10"/>
    <mergeCell ref="B11:C11"/>
    <mergeCell ref="D10:E10"/>
    <mergeCell ref="D11:E11"/>
    <mergeCell ref="F10:G10"/>
    <mergeCell ref="F11:G11"/>
    <mergeCell ref="B7:C7"/>
    <mergeCell ref="B8:C8"/>
    <mergeCell ref="D7:E7"/>
    <mergeCell ref="D8:E8"/>
    <mergeCell ref="F7:G7"/>
    <mergeCell ref="F8:G8"/>
    <mergeCell ref="B2:K2"/>
    <mergeCell ref="B4:C4"/>
    <mergeCell ref="B5:C5"/>
    <mergeCell ref="D4:E4"/>
    <mergeCell ref="D5:E5"/>
    <mergeCell ref="F4:G4"/>
    <mergeCell ref="F5:G5"/>
    <mergeCell ref="H4:I4"/>
    <mergeCell ref="H5:I5"/>
    <mergeCell ref="J4:K4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79DCC-5735-4AD2-904A-7B826455308A}">
  <dimension ref="A2:P100"/>
  <sheetViews>
    <sheetView workbookViewId="0">
      <pane ySplit="4" topLeftCell="A5" activePane="bottomLeft" state="frozenSplit"/>
      <selection pane="bottomLeft"/>
    </sheetView>
  </sheetViews>
  <sheetFormatPr defaultRowHeight="15" x14ac:dyDescent="0.25"/>
  <cols>
    <col min="1" max="1" width="11.85546875" bestFit="1" customWidth="1"/>
    <col min="2" max="2" width="21.140625" bestFit="1" customWidth="1"/>
    <col min="3" max="3" width="17.28515625" bestFit="1" customWidth="1"/>
    <col min="4" max="4" width="13.5703125" bestFit="1" customWidth="1"/>
    <col min="5" max="5" width="21" bestFit="1" customWidth="1"/>
    <col min="6" max="6" width="29.7109375" bestFit="1" customWidth="1"/>
    <col min="7" max="7" width="29.5703125" bestFit="1" customWidth="1"/>
    <col min="8" max="8" width="14.7109375" bestFit="1" customWidth="1"/>
    <col min="9" max="9" width="19" bestFit="1" customWidth="1"/>
    <col min="10" max="10" width="10.140625" bestFit="1" customWidth="1"/>
    <col min="11" max="11" width="9.85546875" bestFit="1" customWidth="1"/>
    <col min="12" max="12" width="12.42578125" bestFit="1" customWidth="1"/>
    <col min="13" max="13" width="11.5703125" bestFit="1" customWidth="1"/>
    <col min="14" max="14" width="32.5703125" bestFit="1" customWidth="1"/>
    <col min="15" max="15" width="32.42578125" bestFit="1" customWidth="1"/>
    <col min="16" max="16" width="28.7109375" customWidth="1"/>
  </cols>
  <sheetData>
    <row r="2" spans="1:16" ht="35.1" customHeight="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4" spans="1:16" ht="26.1" customHeight="1" x14ac:dyDescent="0.2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</row>
    <row r="5" spans="1:16" ht="16.5" x14ac:dyDescent="0.3">
      <c r="A5" s="11">
        <v>46301</v>
      </c>
      <c r="B5" s="6">
        <v>50</v>
      </c>
      <c r="C5" s="7">
        <v>5000</v>
      </c>
      <c r="D5" s="7">
        <v>4200</v>
      </c>
      <c r="E5" s="7">
        <v>100</v>
      </c>
      <c r="F5" s="7">
        <v>75</v>
      </c>
      <c r="G5" s="7">
        <v>12</v>
      </c>
      <c r="H5" s="7">
        <v>2</v>
      </c>
      <c r="I5" s="6">
        <v>94</v>
      </c>
      <c r="J5" s="6">
        <f>IF(A5="","",IF(E5&gt;0, B5/E5, 0))</f>
        <v>0.5</v>
      </c>
      <c r="K5" s="9">
        <f>IF(A5="","",IF(C5&gt;0, E5/C5, 0))</f>
        <v>0.02</v>
      </c>
      <c r="L5" s="6">
        <f>IF(A5="","",IF(H5&gt;0, B5/H5, 0))</f>
        <v>25</v>
      </c>
      <c r="M5" s="10">
        <f>IF(A5="","",IF(B5&gt;0, I5/B5, 0))</f>
        <v>1.88</v>
      </c>
      <c r="N5" s="9">
        <f>IF(A5="","",IF(F5&gt;0, G5/F5, 0))</f>
        <v>0.16</v>
      </c>
      <c r="O5" s="9">
        <f>IF(A5="","",IF(G5&gt;0, H5/G5, 0))</f>
        <v>0.16666666666666666</v>
      </c>
      <c r="P5" s="8" t="s">
        <v>17</v>
      </c>
    </row>
    <row r="6" spans="1:16" ht="16.5" x14ac:dyDescent="0.3">
      <c r="A6" s="12">
        <v>46332</v>
      </c>
      <c r="B6" s="6">
        <v>60</v>
      </c>
      <c r="C6" s="7">
        <v>6000</v>
      </c>
      <c r="D6" s="7">
        <v>5100</v>
      </c>
      <c r="E6" s="7">
        <v>120</v>
      </c>
      <c r="F6" s="7">
        <v>90</v>
      </c>
      <c r="G6" s="7">
        <v>15</v>
      </c>
      <c r="H6" s="7">
        <v>3</v>
      </c>
      <c r="I6" s="6">
        <v>141</v>
      </c>
      <c r="J6" s="6">
        <f>IF(A6="","",IF(E6&gt;0, B6/E6, 0))</f>
        <v>0.5</v>
      </c>
      <c r="K6" s="9">
        <f>IF(A6="","",IF(C6&gt;0, E6/C6, 0))</f>
        <v>0.02</v>
      </c>
      <c r="L6" s="6">
        <f>IF(A6="","",IF(H6&gt;0, B6/H6, 0))</f>
        <v>20</v>
      </c>
      <c r="M6" s="10">
        <f>IF(A6="","",IF(B6&gt;0, I6/B6, 0))</f>
        <v>2.35</v>
      </c>
      <c r="N6" s="9">
        <f>IF(A6="","",IF(F6&gt;0, G6/F6, 0))</f>
        <v>0.16666666666666666</v>
      </c>
      <c r="O6" s="9">
        <f>IF(A6="","",IF(G6&gt;0, H6/G6, 0))</f>
        <v>0.2</v>
      </c>
      <c r="P6" s="8" t="s">
        <v>18</v>
      </c>
    </row>
    <row r="7" spans="1:16" ht="16.5" x14ac:dyDescent="0.3">
      <c r="A7" s="11">
        <v>46362</v>
      </c>
      <c r="B7" s="6">
        <v>75</v>
      </c>
      <c r="C7" s="7">
        <v>7500</v>
      </c>
      <c r="D7" s="7">
        <v>6300</v>
      </c>
      <c r="E7" s="7">
        <v>130</v>
      </c>
      <c r="F7" s="7">
        <v>95</v>
      </c>
      <c r="G7" s="7">
        <v>18</v>
      </c>
      <c r="H7" s="7">
        <v>2</v>
      </c>
      <c r="I7" s="6">
        <v>94</v>
      </c>
      <c r="J7" s="6">
        <f>IF(A7="","",IF(E7&gt;0, B7/E7, 0))</f>
        <v>0.57692307692307687</v>
      </c>
      <c r="K7" s="9">
        <f>IF(A7="","",IF(C7&gt;0, E7/C7, 0))</f>
        <v>1.7333333333333333E-2</v>
      </c>
      <c r="L7" s="6">
        <f>IF(A7="","",IF(H7&gt;0, B7/H7, 0))</f>
        <v>37.5</v>
      </c>
      <c r="M7" s="10">
        <f>IF(A7="","",IF(B7&gt;0, I7/B7, 0))</f>
        <v>1.2533333333333334</v>
      </c>
      <c r="N7" s="9">
        <f>IF(A7="","",IF(F7&gt;0, G7/F7, 0))</f>
        <v>0.18947368421052632</v>
      </c>
      <c r="O7" s="9">
        <f>IF(A7="","",IF(G7&gt;0, H7/G7, 0))</f>
        <v>0.1111111111111111</v>
      </c>
      <c r="P7" s="8" t="s">
        <v>19</v>
      </c>
    </row>
    <row r="8" spans="1:16" ht="16.5" x14ac:dyDescent="0.3">
      <c r="A8" s="12" t="s">
        <v>20</v>
      </c>
      <c r="B8" s="6">
        <v>75</v>
      </c>
      <c r="C8" s="7">
        <v>7800</v>
      </c>
      <c r="D8" s="7">
        <v>6500</v>
      </c>
      <c r="E8" s="7">
        <v>140</v>
      </c>
      <c r="F8" s="7">
        <v>110</v>
      </c>
      <c r="G8" s="7">
        <v>8</v>
      </c>
      <c r="H8" s="7">
        <v>1</v>
      </c>
      <c r="I8" s="6">
        <v>47</v>
      </c>
      <c r="J8" s="6">
        <f>IF(A8="","",IF(E8&gt;0, B8/E8, 0))</f>
        <v>0.5357142857142857</v>
      </c>
      <c r="K8" s="9">
        <f>IF(A8="","",IF(C8&gt;0, E8/C8, 0))</f>
        <v>1.7948717948717947E-2</v>
      </c>
      <c r="L8" s="6">
        <f>IF(A8="","",IF(H8&gt;0, B8/H8, 0))</f>
        <v>75</v>
      </c>
      <c r="M8" s="10">
        <f>IF(A8="","",IF(B8&gt;0, I8/B8, 0))</f>
        <v>0.62666666666666671</v>
      </c>
      <c r="N8" s="9">
        <f>IF(A8="","",IF(F8&gt;0, G8/F8, 0))</f>
        <v>7.2727272727272724E-2</v>
      </c>
      <c r="O8" s="9">
        <f>IF(A8="","",IF(G8&gt;0, H8/G8, 0))</f>
        <v>0.125</v>
      </c>
      <c r="P8" s="8" t="s">
        <v>21</v>
      </c>
    </row>
    <row r="9" spans="1:16" ht="16.5" x14ac:dyDescent="0.3">
      <c r="A9" s="11" t="s">
        <v>22</v>
      </c>
      <c r="B9" s="6">
        <v>75</v>
      </c>
      <c r="C9" s="7">
        <v>8000</v>
      </c>
      <c r="D9" s="7">
        <v>6800</v>
      </c>
      <c r="E9" s="7">
        <v>160</v>
      </c>
      <c r="F9" s="7">
        <v>125</v>
      </c>
      <c r="G9" s="7">
        <v>22</v>
      </c>
      <c r="H9" s="7">
        <v>4</v>
      </c>
      <c r="I9" s="6">
        <v>188</v>
      </c>
      <c r="J9" s="6">
        <f>IF(A9="","",IF(E9&gt;0, B9/E9, 0))</f>
        <v>0.46875</v>
      </c>
      <c r="K9" s="9">
        <f>IF(A9="","",IF(C9&gt;0, E9/C9, 0))</f>
        <v>0.02</v>
      </c>
      <c r="L9" s="6">
        <f>IF(A9="","",IF(H9&gt;0, B9/H9, 0))</f>
        <v>18.75</v>
      </c>
      <c r="M9" s="10">
        <f>IF(A9="","",IF(B9&gt;0, I9/B9, 0))</f>
        <v>2.5066666666666668</v>
      </c>
      <c r="N9" s="9">
        <f>IF(A9="","",IF(F9&gt;0, G9/F9, 0))</f>
        <v>0.17599999999999999</v>
      </c>
      <c r="O9" s="9">
        <f>IF(A9="","",IF(G9&gt;0, H9/G9, 0))</f>
        <v>0.18181818181818182</v>
      </c>
      <c r="P9" s="8" t="s">
        <v>23</v>
      </c>
    </row>
    <row r="10" spans="1:16" ht="16.5" x14ac:dyDescent="0.3">
      <c r="A10" s="12" t="s">
        <v>24</v>
      </c>
      <c r="B10" s="6">
        <v>100</v>
      </c>
      <c r="C10" s="7">
        <v>10000</v>
      </c>
      <c r="D10" s="7">
        <v>8500</v>
      </c>
      <c r="E10" s="7">
        <v>210</v>
      </c>
      <c r="F10" s="7">
        <v>160</v>
      </c>
      <c r="G10" s="7">
        <v>30</v>
      </c>
      <c r="H10" s="7">
        <v>5</v>
      </c>
      <c r="I10" s="6">
        <v>235</v>
      </c>
      <c r="J10" s="6">
        <f>IF(A10="","",IF(E10&gt;0, B10/E10, 0))</f>
        <v>0.47619047619047616</v>
      </c>
      <c r="K10" s="9">
        <f>IF(A10="","",IF(C10&gt;0, E10/C10, 0))</f>
        <v>2.1000000000000001E-2</v>
      </c>
      <c r="L10" s="6">
        <f>IF(A10="","",IF(H10&gt;0, B10/H10, 0))</f>
        <v>20</v>
      </c>
      <c r="M10" s="10">
        <f>IF(A10="","",IF(B10&gt;0, I10/B10, 0))</f>
        <v>2.35</v>
      </c>
      <c r="N10" s="9">
        <f>IF(A10="","",IF(F10&gt;0, G10/F10, 0))</f>
        <v>0.1875</v>
      </c>
      <c r="O10" s="9">
        <f>IF(A10="","",IF(G10&gt;0, H10/G10, 0))</f>
        <v>0.16666666666666666</v>
      </c>
      <c r="P10" s="8" t="s">
        <v>25</v>
      </c>
    </row>
    <row r="11" spans="1:16" ht="16.5" x14ac:dyDescent="0.3">
      <c r="A11" s="11" t="s">
        <v>26</v>
      </c>
      <c r="B11" s="6">
        <v>100</v>
      </c>
      <c r="C11" s="7">
        <v>10500</v>
      </c>
      <c r="D11" s="7">
        <v>8900</v>
      </c>
      <c r="E11" s="7">
        <v>220</v>
      </c>
      <c r="F11" s="7">
        <v>170</v>
      </c>
      <c r="G11" s="7">
        <v>28</v>
      </c>
      <c r="H11" s="7">
        <v>6</v>
      </c>
      <c r="I11" s="6">
        <v>282</v>
      </c>
      <c r="J11" s="6">
        <f>IF(A11="","",IF(E11&gt;0, B11/E11, 0))</f>
        <v>0.45454545454545453</v>
      </c>
      <c r="K11" s="9">
        <f>IF(A11="","",IF(C11&gt;0, E11/C11, 0))</f>
        <v>2.0952380952380951E-2</v>
      </c>
      <c r="L11" s="6">
        <f>IF(A11="","",IF(H11&gt;0, B11/H11, 0))</f>
        <v>16.666666666666668</v>
      </c>
      <c r="M11" s="10">
        <f>IF(A11="","",IF(B11&gt;0, I11/B11, 0))</f>
        <v>2.82</v>
      </c>
      <c r="N11" s="9">
        <f>IF(A11="","",IF(F11&gt;0, G11/F11, 0))</f>
        <v>0.16470588235294117</v>
      </c>
      <c r="O11" s="9">
        <f>IF(A11="","",IF(G11&gt;0, H11/G11, 0))</f>
        <v>0.21428571428571427</v>
      </c>
      <c r="P11" s="8" t="s">
        <v>27</v>
      </c>
    </row>
    <row r="12" spans="1:16" ht="16.5" x14ac:dyDescent="0.3">
      <c r="A12" s="12" t="s">
        <v>28</v>
      </c>
      <c r="B12" s="6">
        <v>120</v>
      </c>
      <c r="C12" s="7">
        <v>12000</v>
      </c>
      <c r="D12" s="7">
        <v>9900</v>
      </c>
      <c r="E12" s="7">
        <v>240</v>
      </c>
      <c r="F12" s="7">
        <v>185</v>
      </c>
      <c r="G12" s="7">
        <v>25</v>
      </c>
      <c r="H12" s="7">
        <v>3</v>
      </c>
      <c r="I12" s="6">
        <v>141</v>
      </c>
      <c r="J12" s="6">
        <f>IF(A12="","",IF(E12&gt;0, B12/E12, 0))</f>
        <v>0.5</v>
      </c>
      <c r="K12" s="9">
        <f>IF(A12="","",IF(C12&gt;0, E12/C12, 0))</f>
        <v>0.02</v>
      </c>
      <c r="L12" s="6">
        <f>IF(A12="","",IF(H12&gt;0, B12/H12, 0))</f>
        <v>40</v>
      </c>
      <c r="M12" s="10">
        <f>IF(A12="","",IF(B12&gt;0, I12/B12, 0))</f>
        <v>1.175</v>
      </c>
      <c r="N12" s="9">
        <f>IF(A12="","",IF(F12&gt;0, G12/F12, 0))</f>
        <v>0.13513513513513514</v>
      </c>
      <c r="O12" s="9">
        <f>IF(A12="","",IF(G12&gt;0, H12/G12, 0))</f>
        <v>0.12</v>
      </c>
      <c r="P12" s="8" t="s">
        <v>29</v>
      </c>
    </row>
    <row r="13" spans="1:16" ht="16.5" x14ac:dyDescent="0.3">
      <c r="A13" s="11" t="s">
        <v>30</v>
      </c>
      <c r="B13" s="6">
        <v>120</v>
      </c>
      <c r="C13" s="7">
        <v>12500</v>
      </c>
      <c r="D13" s="7">
        <v>10200</v>
      </c>
      <c r="E13" s="7">
        <v>250</v>
      </c>
      <c r="F13" s="7">
        <v>190</v>
      </c>
      <c r="G13" s="7">
        <v>32</v>
      </c>
      <c r="H13" s="7">
        <v>5</v>
      </c>
      <c r="I13" s="6">
        <v>235</v>
      </c>
      <c r="J13" s="6">
        <f>IF(A13="","",IF(E13&gt;0, B13/E13, 0))</f>
        <v>0.48</v>
      </c>
      <c r="K13" s="9">
        <f>IF(A13="","",IF(C13&gt;0, E13/C13, 0))</f>
        <v>0.02</v>
      </c>
      <c r="L13" s="6">
        <f>IF(A13="","",IF(H13&gt;0, B13/H13, 0))</f>
        <v>24</v>
      </c>
      <c r="M13" s="10">
        <f>IF(A13="","",IF(B13&gt;0, I13/B13, 0))</f>
        <v>1.9583333333333333</v>
      </c>
      <c r="N13" s="9">
        <f>IF(A13="","",IF(F13&gt;0, G13/F13, 0))</f>
        <v>0.16842105263157894</v>
      </c>
      <c r="O13" s="9">
        <f>IF(A13="","",IF(G13&gt;0, H13/G13, 0))</f>
        <v>0.15625</v>
      </c>
      <c r="P13" s="8" t="s">
        <v>31</v>
      </c>
    </row>
    <row r="14" spans="1:16" ht="16.5" x14ac:dyDescent="0.3">
      <c r="A14" s="12" t="s">
        <v>32</v>
      </c>
      <c r="B14" s="6">
        <v>150</v>
      </c>
      <c r="C14" s="7">
        <v>15000</v>
      </c>
      <c r="D14" s="7">
        <v>12000</v>
      </c>
      <c r="E14" s="7">
        <v>310</v>
      </c>
      <c r="F14" s="7">
        <v>240</v>
      </c>
      <c r="G14" s="7">
        <v>45</v>
      </c>
      <c r="H14" s="7">
        <v>8</v>
      </c>
      <c r="I14" s="6">
        <v>376</v>
      </c>
      <c r="J14" s="6">
        <f>IF(A14="","",IF(E14&gt;0, B14/E14, 0))</f>
        <v>0.4838709677419355</v>
      </c>
      <c r="K14" s="9">
        <f>IF(A14="","",IF(C14&gt;0, E14/C14, 0))</f>
        <v>2.0666666666666667E-2</v>
      </c>
      <c r="L14" s="6">
        <f>IF(A14="","",IF(H14&gt;0, B14/H14, 0))</f>
        <v>18.75</v>
      </c>
      <c r="M14" s="10">
        <f>IF(A14="","",IF(B14&gt;0, I14/B14, 0))</f>
        <v>2.5066666666666668</v>
      </c>
      <c r="N14" s="9">
        <f>IF(A14="","",IF(F14&gt;0, G14/F14, 0))</f>
        <v>0.1875</v>
      </c>
      <c r="O14" s="9">
        <f>IF(A14="","",IF(G14&gt;0, H14/G14, 0))</f>
        <v>0.17777777777777778</v>
      </c>
      <c r="P14" s="8" t="s">
        <v>33</v>
      </c>
    </row>
    <row r="15" spans="1:16" ht="16.5" x14ac:dyDescent="0.3">
      <c r="A15" s="11"/>
      <c r="B15" s="6"/>
      <c r="C15" s="7"/>
      <c r="D15" s="7"/>
      <c r="E15" s="7"/>
      <c r="F15" s="7"/>
      <c r="G15" s="7"/>
      <c r="H15" s="7"/>
      <c r="I15" s="6"/>
      <c r="J15" s="6" t="str">
        <f>IF(A15="","",IF(E15&gt;0, B15/E15, 0))</f>
        <v/>
      </c>
      <c r="K15" s="9" t="str">
        <f>IF(A15="","",IF(C15&gt;0, E15/C15, 0))</f>
        <v/>
      </c>
      <c r="L15" s="6" t="str">
        <f>IF(A15="","",IF(H15&gt;0, B15/H15, 0))</f>
        <v/>
      </c>
      <c r="M15" s="10" t="str">
        <f>IF(A15="","",IF(B15&gt;0, I15/B15, 0))</f>
        <v/>
      </c>
      <c r="N15" s="9" t="str">
        <f>IF(A15="","",IF(F15&gt;0, G15/F15, 0))</f>
        <v/>
      </c>
      <c r="O15" s="9" t="str">
        <f>IF(A15="","",IF(G15&gt;0, H15/G15, 0))</f>
        <v/>
      </c>
      <c r="P15" s="8"/>
    </row>
    <row r="16" spans="1:16" ht="16.5" x14ac:dyDescent="0.3">
      <c r="A16" s="12"/>
      <c r="B16" s="6"/>
      <c r="C16" s="7"/>
      <c r="D16" s="7"/>
      <c r="E16" s="7"/>
      <c r="F16" s="7"/>
      <c r="G16" s="7"/>
      <c r="H16" s="7"/>
      <c r="I16" s="6"/>
      <c r="J16" s="6" t="str">
        <f>IF(A16="","",IF(E16&gt;0, B16/E16, 0))</f>
        <v/>
      </c>
      <c r="K16" s="9" t="str">
        <f>IF(A16="","",IF(C16&gt;0, E16/C16, 0))</f>
        <v/>
      </c>
      <c r="L16" s="6" t="str">
        <f>IF(A16="","",IF(H16&gt;0, B16/H16, 0))</f>
        <v/>
      </c>
      <c r="M16" s="10" t="str">
        <f>IF(A16="","",IF(B16&gt;0, I16/B16, 0))</f>
        <v/>
      </c>
      <c r="N16" s="9" t="str">
        <f>IF(A16="","",IF(F16&gt;0, G16/F16, 0))</f>
        <v/>
      </c>
      <c r="O16" s="9" t="str">
        <f>IF(A16="","",IF(G16&gt;0, H16/G16, 0))</f>
        <v/>
      </c>
      <c r="P16" s="8"/>
    </row>
    <row r="17" spans="1:16" ht="16.5" x14ac:dyDescent="0.3">
      <c r="A17" s="11"/>
      <c r="B17" s="6"/>
      <c r="C17" s="7"/>
      <c r="D17" s="7"/>
      <c r="E17" s="7"/>
      <c r="F17" s="7"/>
      <c r="G17" s="7"/>
      <c r="H17" s="7"/>
      <c r="I17" s="6"/>
      <c r="J17" s="6" t="str">
        <f>IF(A17="","",IF(E17&gt;0, B17/E17, 0))</f>
        <v/>
      </c>
      <c r="K17" s="9" t="str">
        <f>IF(A17="","",IF(C17&gt;0, E17/C17, 0))</f>
        <v/>
      </c>
      <c r="L17" s="6" t="str">
        <f>IF(A17="","",IF(H17&gt;0, B17/H17, 0))</f>
        <v/>
      </c>
      <c r="M17" s="10" t="str">
        <f>IF(A17="","",IF(B17&gt;0, I17/B17, 0))</f>
        <v/>
      </c>
      <c r="N17" s="9" t="str">
        <f>IF(A17="","",IF(F17&gt;0, G17/F17, 0))</f>
        <v/>
      </c>
      <c r="O17" s="9" t="str">
        <f>IF(A17="","",IF(G17&gt;0, H17/G17, 0))</f>
        <v/>
      </c>
      <c r="P17" s="8"/>
    </row>
    <row r="18" spans="1:16" ht="16.5" x14ac:dyDescent="0.3">
      <c r="A18" s="12"/>
      <c r="B18" s="6"/>
      <c r="C18" s="7"/>
      <c r="D18" s="7"/>
      <c r="E18" s="7"/>
      <c r="F18" s="7"/>
      <c r="G18" s="7"/>
      <c r="H18" s="7"/>
      <c r="I18" s="6"/>
      <c r="J18" s="6" t="str">
        <f>IF(A18="","",IF(E18&gt;0, B18/E18, 0))</f>
        <v/>
      </c>
      <c r="K18" s="9" t="str">
        <f>IF(A18="","",IF(C18&gt;0, E18/C18, 0))</f>
        <v/>
      </c>
      <c r="L18" s="6" t="str">
        <f>IF(A18="","",IF(H18&gt;0, B18/H18, 0))</f>
        <v/>
      </c>
      <c r="M18" s="10" t="str">
        <f>IF(A18="","",IF(B18&gt;0, I18/B18, 0))</f>
        <v/>
      </c>
      <c r="N18" s="9" t="str">
        <f>IF(A18="","",IF(F18&gt;0, G18/F18, 0))</f>
        <v/>
      </c>
      <c r="O18" s="9" t="str">
        <f>IF(A18="","",IF(G18&gt;0, H18/G18, 0))</f>
        <v/>
      </c>
      <c r="P18" s="8"/>
    </row>
    <row r="19" spans="1:16" ht="16.5" x14ac:dyDescent="0.3">
      <c r="A19" s="11"/>
      <c r="B19" s="6"/>
      <c r="C19" s="7"/>
      <c r="D19" s="7"/>
      <c r="E19" s="7"/>
      <c r="F19" s="7"/>
      <c r="G19" s="7"/>
      <c r="H19" s="7"/>
      <c r="I19" s="6"/>
      <c r="J19" s="6" t="str">
        <f>IF(A19="","",IF(E19&gt;0, B19/E19, 0))</f>
        <v/>
      </c>
      <c r="K19" s="9" t="str">
        <f>IF(A19="","",IF(C19&gt;0, E19/C19, 0))</f>
        <v/>
      </c>
      <c r="L19" s="6" t="str">
        <f>IF(A19="","",IF(H19&gt;0, B19/H19, 0))</f>
        <v/>
      </c>
      <c r="M19" s="10" t="str">
        <f>IF(A19="","",IF(B19&gt;0, I19/B19, 0))</f>
        <v/>
      </c>
      <c r="N19" s="9" t="str">
        <f>IF(A19="","",IF(F19&gt;0, G19/F19, 0))</f>
        <v/>
      </c>
      <c r="O19" s="9" t="str">
        <f>IF(A19="","",IF(G19&gt;0, H19/G19, 0))</f>
        <v/>
      </c>
      <c r="P19" s="8"/>
    </row>
    <row r="20" spans="1:16" ht="16.5" x14ac:dyDescent="0.3">
      <c r="A20" s="12"/>
      <c r="B20" s="6"/>
      <c r="C20" s="7"/>
      <c r="D20" s="7"/>
      <c r="E20" s="7"/>
      <c r="F20" s="7"/>
      <c r="G20" s="7"/>
      <c r="H20" s="7"/>
      <c r="I20" s="6"/>
      <c r="J20" s="6" t="str">
        <f>IF(A20="","",IF(E20&gt;0, B20/E20, 0))</f>
        <v/>
      </c>
      <c r="K20" s="9" t="str">
        <f>IF(A20="","",IF(C20&gt;0, E20/C20, 0))</f>
        <v/>
      </c>
      <c r="L20" s="6" t="str">
        <f>IF(A20="","",IF(H20&gt;0, B20/H20, 0))</f>
        <v/>
      </c>
      <c r="M20" s="10" t="str">
        <f>IF(A20="","",IF(B20&gt;0, I20/B20, 0))</f>
        <v/>
      </c>
      <c r="N20" s="9" t="str">
        <f>IF(A20="","",IF(F20&gt;0, G20/F20, 0))</f>
        <v/>
      </c>
      <c r="O20" s="9" t="str">
        <f>IF(A20="","",IF(G20&gt;0, H20/G20, 0))</f>
        <v/>
      </c>
      <c r="P20" s="8"/>
    </row>
    <row r="21" spans="1:16" ht="16.5" x14ac:dyDescent="0.3">
      <c r="A21" s="11"/>
      <c r="B21" s="6"/>
      <c r="C21" s="7"/>
      <c r="D21" s="7"/>
      <c r="E21" s="7"/>
      <c r="F21" s="7"/>
      <c r="G21" s="7"/>
      <c r="H21" s="7"/>
      <c r="I21" s="6"/>
      <c r="J21" s="6" t="str">
        <f>IF(A21="","",IF(E21&gt;0, B21/E21, 0))</f>
        <v/>
      </c>
      <c r="K21" s="9" t="str">
        <f>IF(A21="","",IF(C21&gt;0, E21/C21, 0))</f>
        <v/>
      </c>
      <c r="L21" s="6" t="str">
        <f>IF(A21="","",IF(H21&gt;0, B21/H21, 0))</f>
        <v/>
      </c>
      <c r="M21" s="10" t="str">
        <f>IF(A21="","",IF(B21&gt;0, I21/B21, 0))</f>
        <v/>
      </c>
      <c r="N21" s="9" t="str">
        <f>IF(A21="","",IF(F21&gt;0, G21/F21, 0))</f>
        <v/>
      </c>
      <c r="O21" s="9" t="str">
        <f>IF(A21="","",IF(G21&gt;0, H21/G21, 0))</f>
        <v/>
      </c>
      <c r="P21" s="8"/>
    </row>
    <row r="22" spans="1:16" ht="16.5" x14ac:dyDescent="0.3">
      <c r="A22" s="12"/>
      <c r="B22" s="6"/>
      <c r="C22" s="7"/>
      <c r="D22" s="7"/>
      <c r="E22" s="7"/>
      <c r="F22" s="7"/>
      <c r="G22" s="7"/>
      <c r="H22" s="7"/>
      <c r="I22" s="6"/>
      <c r="J22" s="6" t="str">
        <f>IF(A22="","",IF(E22&gt;0, B22/E22, 0))</f>
        <v/>
      </c>
      <c r="K22" s="9" t="str">
        <f>IF(A22="","",IF(C22&gt;0, E22/C22, 0))</f>
        <v/>
      </c>
      <c r="L22" s="6" t="str">
        <f>IF(A22="","",IF(H22&gt;0, B22/H22, 0))</f>
        <v/>
      </c>
      <c r="M22" s="10" t="str">
        <f>IF(A22="","",IF(B22&gt;0, I22/B22, 0))</f>
        <v/>
      </c>
      <c r="N22" s="9" t="str">
        <f>IF(A22="","",IF(F22&gt;0, G22/F22, 0))</f>
        <v/>
      </c>
      <c r="O22" s="9" t="str">
        <f>IF(A22="","",IF(G22&gt;0, H22/G22, 0))</f>
        <v/>
      </c>
      <c r="P22" s="8"/>
    </row>
    <row r="23" spans="1:16" ht="16.5" x14ac:dyDescent="0.3">
      <c r="A23" s="11"/>
      <c r="B23" s="6"/>
      <c r="C23" s="7"/>
      <c r="D23" s="7"/>
      <c r="E23" s="7"/>
      <c r="F23" s="7"/>
      <c r="G23" s="7"/>
      <c r="H23" s="7"/>
      <c r="I23" s="6"/>
      <c r="J23" s="6" t="str">
        <f>IF(A23="","",IF(E23&gt;0, B23/E23, 0))</f>
        <v/>
      </c>
      <c r="K23" s="9" t="str">
        <f>IF(A23="","",IF(C23&gt;0, E23/C23, 0))</f>
        <v/>
      </c>
      <c r="L23" s="6" t="str">
        <f>IF(A23="","",IF(H23&gt;0, B23/H23, 0))</f>
        <v/>
      </c>
      <c r="M23" s="10" t="str">
        <f>IF(A23="","",IF(B23&gt;0, I23/B23, 0))</f>
        <v/>
      </c>
      <c r="N23" s="9" t="str">
        <f>IF(A23="","",IF(F23&gt;0, G23/F23, 0))</f>
        <v/>
      </c>
      <c r="O23" s="9" t="str">
        <f>IF(A23="","",IF(G23&gt;0, H23/G23, 0))</f>
        <v/>
      </c>
      <c r="P23" s="8"/>
    </row>
    <row r="24" spans="1:16" ht="16.5" x14ac:dyDescent="0.3">
      <c r="A24" s="12"/>
      <c r="B24" s="6"/>
      <c r="C24" s="7"/>
      <c r="D24" s="7"/>
      <c r="E24" s="7"/>
      <c r="F24" s="7"/>
      <c r="G24" s="7"/>
      <c r="H24" s="7"/>
      <c r="I24" s="6"/>
      <c r="J24" s="6" t="str">
        <f>IF(A24="","",IF(E24&gt;0, B24/E24, 0))</f>
        <v/>
      </c>
      <c r="K24" s="9" t="str">
        <f>IF(A24="","",IF(C24&gt;0, E24/C24, 0))</f>
        <v/>
      </c>
      <c r="L24" s="6" t="str">
        <f>IF(A24="","",IF(H24&gt;0, B24/H24, 0))</f>
        <v/>
      </c>
      <c r="M24" s="10" t="str">
        <f>IF(A24="","",IF(B24&gt;0, I24/B24, 0))</f>
        <v/>
      </c>
      <c r="N24" s="9" t="str">
        <f>IF(A24="","",IF(F24&gt;0, G24/F24, 0))</f>
        <v/>
      </c>
      <c r="O24" s="9" t="str">
        <f>IF(A24="","",IF(G24&gt;0, H24/G24, 0))</f>
        <v/>
      </c>
      <c r="P24" s="8"/>
    </row>
    <row r="25" spans="1:16" ht="16.5" x14ac:dyDescent="0.3">
      <c r="A25" s="11"/>
      <c r="B25" s="6"/>
      <c r="C25" s="7"/>
      <c r="D25" s="7"/>
      <c r="E25" s="7"/>
      <c r="F25" s="7"/>
      <c r="G25" s="7"/>
      <c r="H25" s="7"/>
      <c r="I25" s="6"/>
      <c r="J25" s="6" t="str">
        <f>IF(A25="","",IF(E25&gt;0, B25/E25, 0))</f>
        <v/>
      </c>
      <c r="K25" s="9" t="str">
        <f>IF(A25="","",IF(C25&gt;0, E25/C25, 0))</f>
        <v/>
      </c>
      <c r="L25" s="6" t="str">
        <f>IF(A25="","",IF(H25&gt;0, B25/H25, 0))</f>
        <v/>
      </c>
      <c r="M25" s="10" t="str">
        <f>IF(A25="","",IF(B25&gt;0, I25/B25, 0))</f>
        <v/>
      </c>
      <c r="N25" s="9" t="str">
        <f>IF(A25="","",IF(F25&gt;0, G25/F25, 0))</f>
        <v/>
      </c>
      <c r="O25" s="9" t="str">
        <f>IF(A25="","",IF(G25&gt;0, H25/G25, 0))</f>
        <v/>
      </c>
      <c r="P25" s="8"/>
    </row>
    <row r="26" spans="1:16" ht="16.5" x14ac:dyDescent="0.3">
      <c r="A26" s="12"/>
      <c r="B26" s="6"/>
      <c r="C26" s="7"/>
      <c r="D26" s="7"/>
      <c r="E26" s="7"/>
      <c r="F26" s="7"/>
      <c r="G26" s="7"/>
      <c r="H26" s="7"/>
      <c r="I26" s="6"/>
      <c r="J26" s="6" t="str">
        <f>IF(A26="","",IF(E26&gt;0, B26/E26, 0))</f>
        <v/>
      </c>
      <c r="K26" s="9" t="str">
        <f>IF(A26="","",IF(C26&gt;0, E26/C26, 0))</f>
        <v/>
      </c>
      <c r="L26" s="6" t="str">
        <f>IF(A26="","",IF(H26&gt;0, B26/H26, 0))</f>
        <v/>
      </c>
      <c r="M26" s="10" t="str">
        <f>IF(A26="","",IF(B26&gt;0, I26/B26, 0))</f>
        <v/>
      </c>
      <c r="N26" s="9" t="str">
        <f>IF(A26="","",IF(F26&gt;0, G26/F26, 0))</f>
        <v/>
      </c>
      <c r="O26" s="9" t="str">
        <f>IF(A26="","",IF(G26&gt;0, H26/G26, 0))</f>
        <v/>
      </c>
      <c r="P26" s="8"/>
    </row>
    <row r="27" spans="1:16" ht="16.5" x14ac:dyDescent="0.3">
      <c r="A27" s="11"/>
      <c r="B27" s="6"/>
      <c r="C27" s="7"/>
      <c r="D27" s="7"/>
      <c r="E27" s="7"/>
      <c r="F27" s="7"/>
      <c r="G27" s="7"/>
      <c r="H27" s="7"/>
      <c r="I27" s="6"/>
      <c r="J27" s="6" t="str">
        <f>IF(A27="","",IF(E27&gt;0, B27/E27, 0))</f>
        <v/>
      </c>
      <c r="K27" s="9" t="str">
        <f>IF(A27="","",IF(C27&gt;0, E27/C27, 0))</f>
        <v/>
      </c>
      <c r="L27" s="6" t="str">
        <f>IF(A27="","",IF(H27&gt;0, B27/H27, 0))</f>
        <v/>
      </c>
      <c r="M27" s="10" t="str">
        <f>IF(A27="","",IF(B27&gt;0, I27/B27, 0))</f>
        <v/>
      </c>
      <c r="N27" s="9" t="str">
        <f>IF(A27="","",IF(F27&gt;0, G27/F27, 0))</f>
        <v/>
      </c>
      <c r="O27" s="9" t="str">
        <f>IF(A27="","",IF(G27&gt;0, H27/G27, 0))</f>
        <v/>
      </c>
      <c r="P27" s="8"/>
    </row>
    <row r="28" spans="1:16" ht="16.5" x14ac:dyDescent="0.3">
      <c r="A28" s="12"/>
      <c r="B28" s="6"/>
      <c r="C28" s="7"/>
      <c r="D28" s="7"/>
      <c r="E28" s="7"/>
      <c r="F28" s="7"/>
      <c r="G28" s="7"/>
      <c r="H28" s="7"/>
      <c r="I28" s="6"/>
      <c r="J28" s="6" t="str">
        <f>IF(A28="","",IF(E28&gt;0, B28/E28, 0))</f>
        <v/>
      </c>
      <c r="K28" s="9" t="str">
        <f>IF(A28="","",IF(C28&gt;0, E28/C28, 0))</f>
        <v/>
      </c>
      <c r="L28" s="6" t="str">
        <f>IF(A28="","",IF(H28&gt;0, B28/H28, 0))</f>
        <v/>
      </c>
      <c r="M28" s="10" t="str">
        <f>IF(A28="","",IF(B28&gt;0, I28/B28, 0))</f>
        <v/>
      </c>
      <c r="N28" s="9" t="str">
        <f>IF(A28="","",IF(F28&gt;0, G28/F28, 0))</f>
        <v/>
      </c>
      <c r="O28" s="9" t="str">
        <f>IF(A28="","",IF(G28&gt;0, H28/G28, 0))</f>
        <v/>
      </c>
      <c r="P28" s="8"/>
    </row>
    <row r="29" spans="1:16" ht="16.5" x14ac:dyDescent="0.3">
      <c r="A29" s="11"/>
      <c r="B29" s="6"/>
      <c r="C29" s="7"/>
      <c r="D29" s="7"/>
      <c r="E29" s="7"/>
      <c r="F29" s="7"/>
      <c r="G29" s="7"/>
      <c r="H29" s="7"/>
      <c r="I29" s="6"/>
      <c r="J29" s="6" t="str">
        <f>IF(A29="","",IF(E29&gt;0, B29/E29, 0))</f>
        <v/>
      </c>
      <c r="K29" s="9" t="str">
        <f>IF(A29="","",IF(C29&gt;0, E29/C29, 0))</f>
        <v/>
      </c>
      <c r="L29" s="6" t="str">
        <f>IF(A29="","",IF(H29&gt;0, B29/H29, 0))</f>
        <v/>
      </c>
      <c r="M29" s="10" t="str">
        <f>IF(A29="","",IF(B29&gt;0, I29/B29, 0))</f>
        <v/>
      </c>
      <c r="N29" s="9" t="str">
        <f>IF(A29="","",IF(F29&gt;0, G29/F29, 0))</f>
        <v/>
      </c>
      <c r="O29" s="9" t="str">
        <f>IF(A29="","",IF(G29&gt;0, H29/G29, 0))</f>
        <v/>
      </c>
      <c r="P29" s="8"/>
    </row>
    <row r="30" spans="1:16" ht="16.5" x14ac:dyDescent="0.3">
      <c r="A30" s="12"/>
      <c r="B30" s="6"/>
      <c r="C30" s="7"/>
      <c r="D30" s="7"/>
      <c r="E30" s="7"/>
      <c r="F30" s="7"/>
      <c r="G30" s="7"/>
      <c r="H30" s="7"/>
      <c r="I30" s="6"/>
      <c r="J30" s="6" t="str">
        <f>IF(A30="","",IF(E30&gt;0, B30/E30, 0))</f>
        <v/>
      </c>
      <c r="K30" s="9" t="str">
        <f>IF(A30="","",IF(C30&gt;0, E30/C30, 0))</f>
        <v/>
      </c>
      <c r="L30" s="6" t="str">
        <f>IF(A30="","",IF(H30&gt;0, B30/H30, 0))</f>
        <v/>
      </c>
      <c r="M30" s="10" t="str">
        <f>IF(A30="","",IF(B30&gt;0, I30/B30, 0))</f>
        <v/>
      </c>
      <c r="N30" s="9" t="str">
        <f>IF(A30="","",IF(F30&gt;0, G30/F30, 0))</f>
        <v/>
      </c>
      <c r="O30" s="9" t="str">
        <f>IF(A30="","",IF(G30&gt;0, H30/G30, 0))</f>
        <v/>
      </c>
      <c r="P30" s="8"/>
    </row>
    <row r="31" spans="1:16" ht="16.5" x14ac:dyDescent="0.3">
      <c r="A31" s="11"/>
      <c r="B31" s="6"/>
      <c r="C31" s="7"/>
      <c r="D31" s="7"/>
      <c r="E31" s="7"/>
      <c r="F31" s="7"/>
      <c r="G31" s="7"/>
      <c r="H31" s="7"/>
      <c r="I31" s="6"/>
      <c r="J31" s="6" t="str">
        <f>IF(A31="","",IF(E31&gt;0, B31/E31, 0))</f>
        <v/>
      </c>
      <c r="K31" s="9" t="str">
        <f>IF(A31="","",IF(C31&gt;0, E31/C31, 0))</f>
        <v/>
      </c>
      <c r="L31" s="6" t="str">
        <f>IF(A31="","",IF(H31&gt;0, B31/H31, 0))</f>
        <v/>
      </c>
      <c r="M31" s="10" t="str">
        <f>IF(A31="","",IF(B31&gt;0, I31/B31, 0))</f>
        <v/>
      </c>
      <c r="N31" s="9" t="str">
        <f>IF(A31="","",IF(F31&gt;0, G31/F31, 0))</f>
        <v/>
      </c>
      <c r="O31" s="9" t="str">
        <f>IF(A31="","",IF(G31&gt;0, H31/G31, 0))</f>
        <v/>
      </c>
      <c r="P31" s="8"/>
    </row>
    <row r="32" spans="1:16" ht="16.5" x14ac:dyDescent="0.3">
      <c r="A32" s="12"/>
      <c r="B32" s="6"/>
      <c r="C32" s="7"/>
      <c r="D32" s="7"/>
      <c r="E32" s="7"/>
      <c r="F32" s="7"/>
      <c r="G32" s="7"/>
      <c r="H32" s="7"/>
      <c r="I32" s="6"/>
      <c r="J32" s="6" t="str">
        <f>IF(A32="","",IF(E32&gt;0, B32/E32, 0))</f>
        <v/>
      </c>
      <c r="K32" s="9" t="str">
        <f>IF(A32="","",IF(C32&gt;0, E32/C32, 0))</f>
        <v/>
      </c>
      <c r="L32" s="6" t="str">
        <f>IF(A32="","",IF(H32&gt;0, B32/H32, 0))</f>
        <v/>
      </c>
      <c r="M32" s="10" t="str">
        <f>IF(A32="","",IF(B32&gt;0, I32/B32, 0))</f>
        <v/>
      </c>
      <c r="N32" s="9" t="str">
        <f>IF(A32="","",IF(F32&gt;0, G32/F32, 0))</f>
        <v/>
      </c>
      <c r="O32" s="9" t="str">
        <f>IF(A32="","",IF(G32&gt;0, H32/G32, 0))</f>
        <v/>
      </c>
      <c r="P32" s="8"/>
    </row>
    <row r="33" spans="1:16" ht="16.5" x14ac:dyDescent="0.3">
      <c r="A33" s="11"/>
      <c r="B33" s="6"/>
      <c r="C33" s="7"/>
      <c r="D33" s="7"/>
      <c r="E33" s="7"/>
      <c r="F33" s="7"/>
      <c r="G33" s="7"/>
      <c r="H33" s="7"/>
      <c r="I33" s="6"/>
      <c r="J33" s="6" t="str">
        <f>IF(A33="","",IF(E33&gt;0, B33/E33, 0))</f>
        <v/>
      </c>
      <c r="K33" s="9" t="str">
        <f>IF(A33="","",IF(C33&gt;0, E33/C33, 0))</f>
        <v/>
      </c>
      <c r="L33" s="6" t="str">
        <f>IF(A33="","",IF(H33&gt;0, B33/H33, 0))</f>
        <v/>
      </c>
      <c r="M33" s="10" t="str">
        <f>IF(A33="","",IF(B33&gt;0, I33/B33, 0))</f>
        <v/>
      </c>
      <c r="N33" s="9" t="str">
        <f>IF(A33="","",IF(F33&gt;0, G33/F33, 0))</f>
        <v/>
      </c>
      <c r="O33" s="9" t="str">
        <f>IF(A33="","",IF(G33&gt;0, H33/G33, 0))</f>
        <v/>
      </c>
      <c r="P33" s="8"/>
    </row>
    <row r="34" spans="1:16" ht="16.5" x14ac:dyDescent="0.3">
      <c r="A34" s="12"/>
      <c r="B34" s="6"/>
      <c r="C34" s="7"/>
      <c r="D34" s="7"/>
      <c r="E34" s="7"/>
      <c r="F34" s="7"/>
      <c r="G34" s="7"/>
      <c r="H34" s="7"/>
      <c r="I34" s="6"/>
      <c r="J34" s="6" t="str">
        <f>IF(A34="","",IF(E34&gt;0, B34/E34, 0))</f>
        <v/>
      </c>
      <c r="K34" s="9" t="str">
        <f>IF(A34="","",IF(C34&gt;0, E34/C34, 0))</f>
        <v/>
      </c>
      <c r="L34" s="6" t="str">
        <f>IF(A34="","",IF(H34&gt;0, B34/H34, 0))</f>
        <v/>
      </c>
      <c r="M34" s="10" t="str">
        <f>IF(A34="","",IF(B34&gt;0, I34/B34, 0))</f>
        <v/>
      </c>
      <c r="N34" s="9" t="str">
        <f>IF(A34="","",IF(F34&gt;0, G34/F34, 0))</f>
        <v/>
      </c>
      <c r="O34" s="9" t="str">
        <f>IF(A34="","",IF(G34&gt;0, H34/G34, 0))</f>
        <v/>
      </c>
      <c r="P34" s="8"/>
    </row>
    <row r="35" spans="1:16" ht="16.5" x14ac:dyDescent="0.3">
      <c r="A35" s="11"/>
      <c r="B35" s="6"/>
      <c r="C35" s="7"/>
      <c r="D35" s="7"/>
      <c r="E35" s="7"/>
      <c r="F35" s="7"/>
      <c r="G35" s="7"/>
      <c r="H35" s="7"/>
      <c r="I35" s="6"/>
      <c r="J35" s="6" t="str">
        <f>IF(A35="","",IF(E35&gt;0, B35/E35, 0))</f>
        <v/>
      </c>
      <c r="K35" s="9" t="str">
        <f>IF(A35="","",IF(C35&gt;0, E35/C35, 0))</f>
        <v/>
      </c>
      <c r="L35" s="6" t="str">
        <f>IF(A35="","",IF(H35&gt;0, B35/H35, 0))</f>
        <v/>
      </c>
      <c r="M35" s="10" t="str">
        <f>IF(A35="","",IF(B35&gt;0, I35/B35, 0))</f>
        <v/>
      </c>
      <c r="N35" s="9" t="str">
        <f>IF(A35="","",IF(F35&gt;0, G35/F35, 0))</f>
        <v/>
      </c>
      <c r="O35" s="9" t="str">
        <f>IF(A35="","",IF(G35&gt;0, H35/G35, 0))</f>
        <v/>
      </c>
      <c r="P35" s="8"/>
    </row>
    <row r="36" spans="1:16" ht="16.5" x14ac:dyDescent="0.3">
      <c r="A36" s="12"/>
      <c r="B36" s="6"/>
      <c r="C36" s="7"/>
      <c r="D36" s="7"/>
      <c r="E36" s="7"/>
      <c r="F36" s="7"/>
      <c r="G36" s="7"/>
      <c r="H36" s="7"/>
      <c r="I36" s="6"/>
      <c r="J36" s="6" t="str">
        <f>IF(A36="","",IF(E36&gt;0, B36/E36, 0))</f>
        <v/>
      </c>
      <c r="K36" s="9" t="str">
        <f>IF(A36="","",IF(C36&gt;0, E36/C36, 0))</f>
        <v/>
      </c>
      <c r="L36" s="6" t="str">
        <f>IF(A36="","",IF(H36&gt;0, B36/H36, 0))</f>
        <v/>
      </c>
      <c r="M36" s="10" t="str">
        <f>IF(A36="","",IF(B36&gt;0, I36/B36, 0))</f>
        <v/>
      </c>
      <c r="N36" s="9" t="str">
        <f>IF(A36="","",IF(F36&gt;0, G36/F36, 0))</f>
        <v/>
      </c>
      <c r="O36" s="9" t="str">
        <f>IF(A36="","",IF(G36&gt;0, H36/G36, 0))</f>
        <v/>
      </c>
      <c r="P36" s="8"/>
    </row>
    <row r="37" spans="1:16" ht="16.5" x14ac:dyDescent="0.3">
      <c r="A37" s="11"/>
      <c r="B37" s="6"/>
      <c r="C37" s="7"/>
      <c r="D37" s="7"/>
      <c r="E37" s="7"/>
      <c r="F37" s="7"/>
      <c r="G37" s="7"/>
      <c r="H37" s="7"/>
      <c r="I37" s="6"/>
      <c r="J37" s="6" t="str">
        <f>IF(A37="","",IF(E37&gt;0, B37/E37, 0))</f>
        <v/>
      </c>
      <c r="K37" s="9" t="str">
        <f>IF(A37="","",IF(C37&gt;0, E37/C37, 0))</f>
        <v/>
      </c>
      <c r="L37" s="6" t="str">
        <f>IF(A37="","",IF(H37&gt;0, B37/H37, 0))</f>
        <v/>
      </c>
      <c r="M37" s="10" t="str">
        <f>IF(A37="","",IF(B37&gt;0, I37/B37, 0))</f>
        <v/>
      </c>
      <c r="N37" s="9" t="str">
        <f>IF(A37="","",IF(F37&gt;0, G37/F37, 0))</f>
        <v/>
      </c>
      <c r="O37" s="9" t="str">
        <f>IF(A37="","",IF(G37&gt;0, H37/G37, 0))</f>
        <v/>
      </c>
      <c r="P37" s="8"/>
    </row>
    <row r="38" spans="1:16" ht="16.5" x14ac:dyDescent="0.3">
      <c r="A38" s="12"/>
      <c r="B38" s="6"/>
      <c r="C38" s="7"/>
      <c r="D38" s="7"/>
      <c r="E38" s="7"/>
      <c r="F38" s="7"/>
      <c r="G38" s="7"/>
      <c r="H38" s="7"/>
      <c r="I38" s="6"/>
      <c r="J38" s="6" t="str">
        <f>IF(A38="","",IF(E38&gt;0, B38/E38, 0))</f>
        <v/>
      </c>
      <c r="K38" s="9" t="str">
        <f>IF(A38="","",IF(C38&gt;0, E38/C38, 0))</f>
        <v/>
      </c>
      <c r="L38" s="6" t="str">
        <f>IF(A38="","",IF(H38&gt;0, B38/H38, 0))</f>
        <v/>
      </c>
      <c r="M38" s="10" t="str">
        <f>IF(A38="","",IF(B38&gt;0, I38/B38, 0))</f>
        <v/>
      </c>
      <c r="N38" s="9" t="str">
        <f>IF(A38="","",IF(F38&gt;0, G38/F38, 0))</f>
        <v/>
      </c>
      <c r="O38" s="9" t="str">
        <f>IF(A38="","",IF(G38&gt;0, H38/G38, 0))</f>
        <v/>
      </c>
      <c r="P38" s="8"/>
    </row>
    <row r="39" spans="1:16" ht="16.5" x14ac:dyDescent="0.3">
      <c r="A39" s="11"/>
      <c r="B39" s="6"/>
      <c r="C39" s="7"/>
      <c r="D39" s="7"/>
      <c r="E39" s="7"/>
      <c r="F39" s="7"/>
      <c r="G39" s="7"/>
      <c r="H39" s="7"/>
      <c r="I39" s="6"/>
      <c r="J39" s="6" t="str">
        <f>IF(A39="","",IF(E39&gt;0, B39/E39, 0))</f>
        <v/>
      </c>
      <c r="K39" s="9" t="str">
        <f>IF(A39="","",IF(C39&gt;0, E39/C39, 0))</f>
        <v/>
      </c>
      <c r="L39" s="6" t="str">
        <f>IF(A39="","",IF(H39&gt;0, B39/H39, 0))</f>
        <v/>
      </c>
      <c r="M39" s="10" t="str">
        <f>IF(A39="","",IF(B39&gt;0, I39/B39, 0))</f>
        <v/>
      </c>
      <c r="N39" s="9" t="str">
        <f>IF(A39="","",IF(F39&gt;0, G39/F39, 0))</f>
        <v/>
      </c>
      <c r="O39" s="9" t="str">
        <f>IF(A39="","",IF(G39&gt;0, H39/G39, 0))</f>
        <v/>
      </c>
      <c r="P39" s="8"/>
    </row>
    <row r="40" spans="1:16" ht="16.5" x14ac:dyDescent="0.3">
      <c r="A40" s="12"/>
      <c r="B40" s="6"/>
      <c r="C40" s="7"/>
      <c r="D40" s="7"/>
      <c r="E40" s="7"/>
      <c r="F40" s="7"/>
      <c r="G40" s="7"/>
      <c r="H40" s="7"/>
      <c r="I40" s="6"/>
      <c r="J40" s="6" t="str">
        <f>IF(A40="","",IF(E40&gt;0, B40/E40, 0))</f>
        <v/>
      </c>
      <c r="K40" s="9" t="str">
        <f>IF(A40="","",IF(C40&gt;0, E40/C40, 0))</f>
        <v/>
      </c>
      <c r="L40" s="6" t="str">
        <f>IF(A40="","",IF(H40&gt;0, B40/H40, 0))</f>
        <v/>
      </c>
      <c r="M40" s="10" t="str">
        <f>IF(A40="","",IF(B40&gt;0, I40/B40, 0))</f>
        <v/>
      </c>
      <c r="N40" s="9" t="str">
        <f>IF(A40="","",IF(F40&gt;0, G40/F40, 0))</f>
        <v/>
      </c>
      <c r="O40" s="9" t="str">
        <f>IF(A40="","",IF(G40&gt;0, H40/G40, 0))</f>
        <v/>
      </c>
      <c r="P40" s="8"/>
    </row>
    <row r="41" spans="1:16" ht="16.5" x14ac:dyDescent="0.3">
      <c r="A41" s="11"/>
      <c r="B41" s="6"/>
      <c r="C41" s="7"/>
      <c r="D41" s="7"/>
      <c r="E41" s="7"/>
      <c r="F41" s="7"/>
      <c r="G41" s="7"/>
      <c r="H41" s="7"/>
      <c r="I41" s="6"/>
      <c r="J41" s="6" t="str">
        <f>IF(A41="","",IF(E41&gt;0, B41/E41, 0))</f>
        <v/>
      </c>
      <c r="K41" s="9" t="str">
        <f>IF(A41="","",IF(C41&gt;0, E41/C41, 0))</f>
        <v/>
      </c>
      <c r="L41" s="6" t="str">
        <f>IF(A41="","",IF(H41&gt;0, B41/H41, 0))</f>
        <v/>
      </c>
      <c r="M41" s="10" t="str">
        <f>IF(A41="","",IF(B41&gt;0, I41/B41, 0))</f>
        <v/>
      </c>
      <c r="N41" s="9" t="str">
        <f>IF(A41="","",IF(F41&gt;0, G41/F41, 0))</f>
        <v/>
      </c>
      <c r="O41" s="9" t="str">
        <f>IF(A41="","",IF(G41&gt;0, H41/G41, 0))</f>
        <v/>
      </c>
      <c r="P41" s="8"/>
    </row>
    <row r="42" spans="1:16" ht="16.5" x14ac:dyDescent="0.3">
      <c r="A42" s="12"/>
      <c r="B42" s="6"/>
      <c r="C42" s="7"/>
      <c r="D42" s="7"/>
      <c r="E42" s="7"/>
      <c r="F42" s="7"/>
      <c r="G42" s="7"/>
      <c r="H42" s="7"/>
      <c r="I42" s="6"/>
      <c r="J42" s="6" t="str">
        <f>IF(A42="","",IF(E42&gt;0, B42/E42, 0))</f>
        <v/>
      </c>
      <c r="K42" s="9" t="str">
        <f>IF(A42="","",IF(C42&gt;0, E42/C42, 0))</f>
        <v/>
      </c>
      <c r="L42" s="6" t="str">
        <f>IF(A42="","",IF(H42&gt;0, B42/H42, 0))</f>
        <v/>
      </c>
      <c r="M42" s="10" t="str">
        <f>IF(A42="","",IF(B42&gt;0, I42/B42, 0))</f>
        <v/>
      </c>
      <c r="N42" s="9" t="str">
        <f>IF(A42="","",IF(F42&gt;0, G42/F42, 0))</f>
        <v/>
      </c>
      <c r="O42" s="9" t="str">
        <f>IF(A42="","",IF(G42&gt;0, H42/G42, 0))</f>
        <v/>
      </c>
      <c r="P42" s="8"/>
    </row>
    <row r="43" spans="1:16" ht="16.5" x14ac:dyDescent="0.3">
      <c r="A43" s="11"/>
      <c r="B43" s="6"/>
      <c r="C43" s="7"/>
      <c r="D43" s="7"/>
      <c r="E43" s="7"/>
      <c r="F43" s="7"/>
      <c r="G43" s="7"/>
      <c r="H43" s="7"/>
      <c r="I43" s="6"/>
      <c r="J43" s="6" t="str">
        <f>IF(A43="","",IF(E43&gt;0, B43/E43, 0))</f>
        <v/>
      </c>
      <c r="K43" s="9" t="str">
        <f>IF(A43="","",IF(C43&gt;0, E43/C43, 0))</f>
        <v/>
      </c>
      <c r="L43" s="6" t="str">
        <f>IF(A43="","",IF(H43&gt;0, B43/H43, 0))</f>
        <v/>
      </c>
      <c r="M43" s="10" t="str">
        <f>IF(A43="","",IF(B43&gt;0, I43/B43, 0))</f>
        <v/>
      </c>
      <c r="N43" s="9" t="str">
        <f>IF(A43="","",IF(F43&gt;0, G43/F43, 0))</f>
        <v/>
      </c>
      <c r="O43" s="9" t="str">
        <f>IF(A43="","",IF(G43&gt;0, H43/G43, 0))</f>
        <v/>
      </c>
      <c r="P43" s="8"/>
    </row>
    <row r="44" spans="1:16" ht="16.5" x14ac:dyDescent="0.3">
      <c r="A44" s="12"/>
      <c r="B44" s="6"/>
      <c r="C44" s="7"/>
      <c r="D44" s="7"/>
      <c r="E44" s="7"/>
      <c r="F44" s="7"/>
      <c r="G44" s="7"/>
      <c r="H44" s="7"/>
      <c r="I44" s="6"/>
      <c r="J44" s="6" t="str">
        <f>IF(A44="","",IF(E44&gt;0, B44/E44, 0))</f>
        <v/>
      </c>
      <c r="K44" s="9" t="str">
        <f>IF(A44="","",IF(C44&gt;0, E44/C44, 0))</f>
        <v/>
      </c>
      <c r="L44" s="6" t="str">
        <f>IF(A44="","",IF(H44&gt;0, B44/H44, 0))</f>
        <v/>
      </c>
      <c r="M44" s="10" t="str">
        <f>IF(A44="","",IF(B44&gt;0, I44/B44, 0))</f>
        <v/>
      </c>
      <c r="N44" s="9" t="str">
        <f>IF(A44="","",IF(F44&gt;0, G44/F44, 0))</f>
        <v/>
      </c>
      <c r="O44" s="9" t="str">
        <f>IF(A44="","",IF(G44&gt;0, H44/G44, 0))</f>
        <v/>
      </c>
      <c r="P44" s="8"/>
    </row>
    <row r="45" spans="1:16" ht="16.5" x14ac:dyDescent="0.3">
      <c r="A45" s="11"/>
      <c r="B45" s="6"/>
      <c r="C45" s="7"/>
      <c r="D45" s="7"/>
      <c r="E45" s="7"/>
      <c r="F45" s="7"/>
      <c r="G45" s="7"/>
      <c r="H45" s="7"/>
      <c r="I45" s="6"/>
      <c r="J45" s="6" t="str">
        <f>IF(A45="","",IF(E45&gt;0, B45/E45, 0))</f>
        <v/>
      </c>
      <c r="K45" s="9" t="str">
        <f>IF(A45="","",IF(C45&gt;0, E45/C45, 0))</f>
        <v/>
      </c>
      <c r="L45" s="6" t="str">
        <f>IF(A45="","",IF(H45&gt;0, B45/H45, 0))</f>
        <v/>
      </c>
      <c r="M45" s="10" t="str">
        <f>IF(A45="","",IF(B45&gt;0, I45/B45, 0))</f>
        <v/>
      </c>
      <c r="N45" s="9" t="str">
        <f>IF(A45="","",IF(F45&gt;0, G45/F45, 0))</f>
        <v/>
      </c>
      <c r="O45" s="9" t="str">
        <f>IF(A45="","",IF(G45&gt;0, H45/G45, 0))</f>
        <v/>
      </c>
      <c r="P45" s="8"/>
    </row>
    <row r="46" spans="1:16" ht="16.5" x14ac:dyDescent="0.3">
      <c r="A46" s="12"/>
      <c r="B46" s="6"/>
      <c r="C46" s="7"/>
      <c r="D46" s="7"/>
      <c r="E46" s="7"/>
      <c r="F46" s="7"/>
      <c r="G46" s="7"/>
      <c r="H46" s="7"/>
      <c r="I46" s="6"/>
      <c r="J46" s="6" t="str">
        <f>IF(A46="","",IF(E46&gt;0, B46/E46, 0))</f>
        <v/>
      </c>
      <c r="K46" s="9" t="str">
        <f>IF(A46="","",IF(C46&gt;0, E46/C46, 0))</f>
        <v/>
      </c>
      <c r="L46" s="6" t="str">
        <f>IF(A46="","",IF(H46&gt;0, B46/H46, 0))</f>
        <v/>
      </c>
      <c r="M46" s="10" t="str">
        <f>IF(A46="","",IF(B46&gt;0, I46/B46, 0))</f>
        <v/>
      </c>
      <c r="N46" s="9" t="str">
        <f>IF(A46="","",IF(F46&gt;0, G46/F46, 0))</f>
        <v/>
      </c>
      <c r="O46" s="9" t="str">
        <f>IF(A46="","",IF(G46&gt;0, H46/G46, 0))</f>
        <v/>
      </c>
      <c r="P46" s="8"/>
    </row>
    <row r="47" spans="1:16" ht="16.5" x14ac:dyDescent="0.3">
      <c r="A47" s="11"/>
      <c r="B47" s="6"/>
      <c r="C47" s="7"/>
      <c r="D47" s="7"/>
      <c r="E47" s="7"/>
      <c r="F47" s="7"/>
      <c r="G47" s="7"/>
      <c r="H47" s="7"/>
      <c r="I47" s="6"/>
      <c r="J47" s="6" t="str">
        <f>IF(A47="","",IF(E47&gt;0, B47/E47, 0))</f>
        <v/>
      </c>
      <c r="K47" s="9" t="str">
        <f>IF(A47="","",IF(C47&gt;0, E47/C47, 0))</f>
        <v/>
      </c>
      <c r="L47" s="6" t="str">
        <f>IF(A47="","",IF(H47&gt;0, B47/H47, 0))</f>
        <v/>
      </c>
      <c r="M47" s="10" t="str">
        <f>IF(A47="","",IF(B47&gt;0, I47/B47, 0))</f>
        <v/>
      </c>
      <c r="N47" s="9" t="str">
        <f>IF(A47="","",IF(F47&gt;0, G47/F47, 0))</f>
        <v/>
      </c>
      <c r="O47" s="9" t="str">
        <f>IF(A47="","",IF(G47&gt;0, H47/G47, 0))</f>
        <v/>
      </c>
      <c r="P47" s="8"/>
    </row>
    <row r="48" spans="1:16" ht="16.5" x14ac:dyDescent="0.3">
      <c r="A48" s="12"/>
      <c r="B48" s="6"/>
      <c r="C48" s="7"/>
      <c r="D48" s="7"/>
      <c r="E48" s="7"/>
      <c r="F48" s="7"/>
      <c r="G48" s="7"/>
      <c r="H48" s="7"/>
      <c r="I48" s="6"/>
      <c r="J48" s="6" t="str">
        <f>IF(A48="","",IF(E48&gt;0, B48/E48, 0))</f>
        <v/>
      </c>
      <c r="K48" s="9" t="str">
        <f>IF(A48="","",IF(C48&gt;0, E48/C48, 0))</f>
        <v/>
      </c>
      <c r="L48" s="6" t="str">
        <f>IF(A48="","",IF(H48&gt;0, B48/H48, 0))</f>
        <v/>
      </c>
      <c r="M48" s="10" t="str">
        <f>IF(A48="","",IF(B48&gt;0, I48/B48, 0))</f>
        <v/>
      </c>
      <c r="N48" s="9" t="str">
        <f>IF(A48="","",IF(F48&gt;0, G48/F48, 0))</f>
        <v/>
      </c>
      <c r="O48" s="9" t="str">
        <f>IF(A48="","",IF(G48&gt;0, H48/G48, 0))</f>
        <v/>
      </c>
      <c r="P48" s="8"/>
    </row>
    <row r="49" spans="1:16" ht="16.5" x14ac:dyDescent="0.3">
      <c r="A49" s="11"/>
      <c r="B49" s="6"/>
      <c r="C49" s="7"/>
      <c r="D49" s="7"/>
      <c r="E49" s="7"/>
      <c r="F49" s="7"/>
      <c r="G49" s="7"/>
      <c r="H49" s="7"/>
      <c r="I49" s="6"/>
      <c r="J49" s="6" t="str">
        <f>IF(A49="","",IF(E49&gt;0, B49/E49, 0))</f>
        <v/>
      </c>
      <c r="K49" s="9" t="str">
        <f>IF(A49="","",IF(C49&gt;0, E49/C49, 0))</f>
        <v/>
      </c>
      <c r="L49" s="6" t="str">
        <f>IF(A49="","",IF(H49&gt;0, B49/H49, 0))</f>
        <v/>
      </c>
      <c r="M49" s="10" t="str">
        <f>IF(A49="","",IF(B49&gt;0, I49/B49, 0))</f>
        <v/>
      </c>
      <c r="N49" s="9" t="str">
        <f>IF(A49="","",IF(F49&gt;0, G49/F49, 0))</f>
        <v/>
      </c>
      <c r="O49" s="9" t="str">
        <f>IF(A49="","",IF(G49&gt;0, H49/G49, 0))</f>
        <v/>
      </c>
      <c r="P49" s="8"/>
    </row>
    <row r="50" spans="1:16" ht="16.5" x14ac:dyDescent="0.3">
      <c r="A50" s="12"/>
      <c r="B50" s="6"/>
      <c r="C50" s="7"/>
      <c r="D50" s="7"/>
      <c r="E50" s="7"/>
      <c r="F50" s="7"/>
      <c r="G50" s="7"/>
      <c r="H50" s="7"/>
      <c r="I50" s="6"/>
      <c r="J50" s="6" t="str">
        <f>IF(A50="","",IF(E50&gt;0, B50/E50, 0))</f>
        <v/>
      </c>
      <c r="K50" s="9" t="str">
        <f>IF(A50="","",IF(C50&gt;0, E50/C50, 0))</f>
        <v/>
      </c>
      <c r="L50" s="6" t="str">
        <f>IF(A50="","",IF(H50&gt;0, B50/H50, 0))</f>
        <v/>
      </c>
      <c r="M50" s="10" t="str">
        <f>IF(A50="","",IF(B50&gt;0, I50/B50, 0))</f>
        <v/>
      </c>
      <c r="N50" s="9" t="str">
        <f>IF(A50="","",IF(F50&gt;0, G50/F50, 0))</f>
        <v/>
      </c>
      <c r="O50" s="9" t="str">
        <f>IF(A50="","",IF(G50&gt;0, H50/G50, 0))</f>
        <v/>
      </c>
      <c r="P50" s="8"/>
    </row>
    <row r="51" spans="1:16" ht="16.5" x14ac:dyDescent="0.3">
      <c r="A51" s="11"/>
      <c r="B51" s="6"/>
      <c r="C51" s="7"/>
      <c r="D51" s="7"/>
      <c r="E51" s="7"/>
      <c r="F51" s="7"/>
      <c r="G51" s="7"/>
      <c r="H51" s="7"/>
      <c r="I51" s="6"/>
      <c r="J51" s="6" t="str">
        <f>IF(A51="","",IF(E51&gt;0, B51/E51, 0))</f>
        <v/>
      </c>
      <c r="K51" s="9" t="str">
        <f>IF(A51="","",IF(C51&gt;0, E51/C51, 0))</f>
        <v/>
      </c>
      <c r="L51" s="6" t="str">
        <f>IF(A51="","",IF(H51&gt;0, B51/H51, 0))</f>
        <v/>
      </c>
      <c r="M51" s="10" t="str">
        <f>IF(A51="","",IF(B51&gt;0, I51/B51, 0))</f>
        <v/>
      </c>
      <c r="N51" s="9" t="str">
        <f>IF(A51="","",IF(F51&gt;0, G51/F51, 0))</f>
        <v/>
      </c>
      <c r="O51" s="9" t="str">
        <f>IF(A51="","",IF(G51&gt;0, H51/G51, 0))</f>
        <v/>
      </c>
      <c r="P51" s="8"/>
    </row>
    <row r="52" spans="1:16" ht="16.5" x14ac:dyDescent="0.3">
      <c r="A52" s="12"/>
      <c r="B52" s="6"/>
      <c r="C52" s="7"/>
      <c r="D52" s="7"/>
      <c r="E52" s="7"/>
      <c r="F52" s="7"/>
      <c r="G52" s="7"/>
      <c r="H52" s="7"/>
      <c r="I52" s="6"/>
      <c r="J52" s="6" t="str">
        <f>IF(A52="","",IF(E52&gt;0, B52/E52, 0))</f>
        <v/>
      </c>
      <c r="K52" s="9" t="str">
        <f>IF(A52="","",IF(C52&gt;0, E52/C52, 0))</f>
        <v/>
      </c>
      <c r="L52" s="6" t="str">
        <f>IF(A52="","",IF(H52&gt;0, B52/H52, 0))</f>
        <v/>
      </c>
      <c r="M52" s="10" t="str">
        <f>IF(A52="","",IF(B52&gt;0, I52/B52, 0))</f>
        <v/>
      </c>
      <c r="N52" s="9" t="str">
        <f>IF(A52="","",IF(F52&gt;0, G52/F52, 0))</f>
        <v/>
      </c>
      <c r="O52" s="9" t="str">
        <f>IF(A52="","",IF(G52&gt;0, H52/G52, 0))</f>
        <v/>
      </c>
      <c r="P52" s="8"/>
    </row>
    <row r="53" spans="1:16" ht="16.5" x14ac:dyDescent="0.3">
      <c r="A53" s="11"/>
      <c r="B53" s="6"/>
      <c r="C53" s="7"/>
      <c r="D53" s="7"/>
      <c r="E53" s="7"/>
      <c r="F53" s="7"/>
      <c r="G53" s="7"/>
      <c r="H53" s="7"/>
      <c r="I53" s="6"/>
      <c r="J53" s="6" t="str">
        <f>IF(A53="","",IF(E53&gt;0, B53/E53, 0))</f>
        <v/>
      </c>
      <c r="K53" s="9" t="str">
        <f>IF(A53="","",IF(C53&gt;0, E53/C53, 0))</f>
        <v/>
      </c>
      <c r="L53" s="6" t="str">
        <f>IF(A53="","",IF(H53&gt;0, B53/H53, 0))</f>
        <v/>
      </c>
      <c r="M53" s="10" t="str">
        <f>IF(A53="","",IF(B53&gt;0, I53/B53, 0))</f>
        <v/>
      </c>
      <c r="N53" s="9" t="str">
        <f>IF(A53="","",IF(F53&gt;0, G53/F53, 0))</f>
        <v/>
      </c>
      <c r="O53" s="9" t="str">
        <f>IF(A53="","",IF(G53&gt;0, H53/G53, 0))</f>
        <v/>
      </c>
      <c r="P53" s="8"/>
    </row>
    <row r="54" spans="1:16" ht="16.5" x14ac:dyDescent="0.3">
      <c r="A54" s="12"/>
      <c r="B54" s="6"/>
      <c r="C54" s="7"/>
      <c r="D54" s="7"/>
      <c r="E54" s="7"/>
      <c r="F54" s="7"/>
      <c r="G54" s="7"/>
      <c r="H54" s="7"/>
      <c r="I54" s="6"/>
      <c r="J54" s="6" t="str">
        <f>IF(A54="","",IF(E54&gt;0, B54/E54, 0))</f>
        <v/>
      </c>
      <c r="K54" s="9" t="str">
        <f>IF(A54="","",IF(C54&gt;0, E54/C54, 0))</f>
        <v/>
      </c>
      <c r="L54" s="6" t="str">
        <f>IF(A54="","",IF(H54&gt;0, B54/H54, 0))</f>
        <v/>
      </c>
      <c r="M54" s="10" t="str">
        <f>IF(A54="","",IF(B54&gt;0, I54/B54, 0))</f>
        <v/>
      </c>
      <c r="N54" s="9" t="str">
        <f>IF(A54="","",IF(F54&gt;0, G54/F54, 0))</f>
        <v/>
      </c>
      <c r="O54" s="9" t="str">
        <f>IF(A54="","",IF(G54&gt;0, H54/G54, 0))</f>
        <v/>
      </c>
      <c r="P54" s="8"/>
    </row>
    <row r="55" spans="1:16" ht="16.5" x14ac:dyDescent="0.3">
      <c r="A55" s="11"/>
      <c r="B55" s="6"/>
      <c r="C55" s="7"/>
      <c r="D55" s="7"/>
      <c r="E55" s="7"/>
      <c r="F55" s="7"/>
      <c r="G55" s="7"/>
      <c r="H55" s="7"/>
      <c r="I55" s="6"/>
      <c r="J55" s="6" t="str">
        <f>IF(A55="","",IF(E55&gt;0, B55/E55, 0))</f>
        <v/>
      </c>
      <c r="K55" s="9" t="str">
        <f>IF(A55="","",IF(C55&gt;0, E55/C55, 0))</f>
        <v/>
      </c>
      <c r="L55" s="6" t="str">
        <f>IF(A55="","",IF(H55&gt;0, B55/H55, 0))</f>
        <v/>
      </c>
      <c r="M55" s="10" t="str">
        <f>IF(A55="","",IF(B55&gt;0, I55/B55, 0))</f>
        <v/>
      </c>
      <c r="N55" s="9" t="str">
        <f>IF(A55="","",IF(F55&gt;0, G55/F55, 0))</f>
        <v/>
      </c>
      <c r="O55" s="9" t="str">
        <f>IF(A55="","",IF(G55&gt;0, H55/G55, 0))</f>
        <v/>
      </c>
      <c r="P55" s="8"/>
    </row>
    <row r="56" spans="1:16" ht="16.5" x14ac:dyDescent="0.3">
      <c r="A56" s="12"/>
      <c r="B56" s="6"/>
      <c r="C56" s="7"/>
      <c r="D56" s="7"/>
      <c r="E56" s="7"/>
      <c r="F56" s="7"/>
      <c r="G56" s="7"/>
      <c r="H56" s="7"/>
      <c r="I56" s="6"/>
      <c r="J56" s="6" t="str">
        <f>IF(A56="","",IF(E56&gt;0, B56/E56, 0))</f>
        <v/>
      </c>
      <c r="K56" s="9" t="str">
        <f>IF(A56="","",IF(C56&gt;0, E56/C56, 0))</f>
        <v/>
      </c>
      <c r="L56" s="6" t="str">
        <f>IF(A56="","",IF(H56&gt;0, B56/H56, 0))</f>
        <v/>
      </c>
      <c r="M56" s="10" t="str">
        <f>IF(A56="","",IF(B56&gt;0, I56/B56, 0))</f>
        <v/>
      </c>
      <c r="N56" s="9" t="str">
        <f>IF(A56="","",IF(F56&gt;0, G56/F56, 0))</f>
        <v/>
      </c>
      <c r="O56" s="9" t="str">
        <f>IF(A56="","",IF(G56&gt;0, H56/G56, 0))</f>
        <v/>
      </c>
      <c r="P56" s="8"/>
    </row>
    <row r="57" spans="1:16" ht="16.5" x14ac:dyDescent="0.3">
      <c r="A57" s="11"/>
      <c r="B57" s="6"/>
      <c r="C57" s="7"/>
      <c r="D57" s="7"/>
      <c r="E57" s="7"/>
      <c r="F57" s="7"/>
      <c r="G57" s="7"/>
      <c r="H57" s="7"/>
      <c r="I57" s="6"/>
      <c r="J57" s="6" t="str">
        <f>IF(A57="","",IF(E57&gt;0, B57/E57, 0))</f>
        <v/>
      </c>
      <c r="K57" s="9" t="str">
        <f>IF(A57="","",IF(C57&gt;0, E57/C57, 0))</f>
        <v/>
      </c>
      <c r="L57" s="6" t="str">
        <f>IF(A57="","",IF(H57&gt;0, B57/H57, 0))</f>
        <v/>
      </c>
      <c r="M57" s="10" t="str">
        <f>IF(A57="","",IF(B57&gt;0, I57/B57, 0))</f>
        <v/>
      </c>
      <c r="N57" s="9" t="str">
        <f>IF(A57="","",IF(F57&gt;0, G57/F57, 0))</f>
        <v/>
      </c>
      <c r="O57" s="9" t="str">
        <f>IF(A57="","",IF(G57&gt;0, H57/G57, 0))</f>
        <v/>
      </c>
      <c r="P57" s="8"/>
    </row>
    <row r="58" spans="1:16" ht="16.5" x14ac:dyDescent="0.3">
      <c r="A58" s="12"/>
      <c r="B58" s="6"/>
      <c r="C58" s="7"/>
      <c r="D58" s="7"/>
      <c r="E58" s="7"/>
      <c r="F58" s="7"/>
      <c r="G58" s="7"/>
      <c r="H58" s="7"/>
      <c r="I58" s="6"/>
      <c r="J58" s="6" t="str">
        <f>IF(A58="","",IF(E58&gt;0, B58/E58, 0))</f>
        <v/>
      </c>
      <c r="K58" s="9" t="str">
        <f>IF(A58="","",IF(C58&gt;0, E58/C58, 0))</f>
        <v/>
      </c>
      <c r="L58" s="6" t="str">
        <f>IF(A58="","",IF(H58&gt;0, B58/H58, 0))</f>
        <v/>
      </c>
      <c r="M58" s="10" t="str">
        <f>IF(A58="","",IF(B58&gt;0, I58/B58, 0))</f>
        <v/>
      </c>
      <c r="N58" s="9" t="str">
        <f>IF(A58="","",IF(F58&gt;0, G58/F58, 0))</f>
        <v/>
      </c>
      <c r="O58" s="9" t="str">
        <f>IF(A58="","",IF(G58&gt;0, H58/G58, 0))</f>
        <v/>
      </c>
      <c r="P58" s="8"/>
    </row>
    <row r="59" spans="1:16" ht="16.5" x14ac:dyDescent="0.3">
      <c r="A59" s="11"/>
      <c r="B59" s="6"/>
      <c r="C59" s="7"/>
      <c r="D59" s="7"/>
      <c r="E59" s="7"/>
      <c r="F59" s="7"/>
      <c r="G59" s="7"/>
      <c r="H59" s="7"/>
      <c r="I59" s="6"/>
      <c r="J59" s="6" t="str">
        <f>IF(A59="","",IF(E59&gt;0, B59/E59, 0))</f>
        <v/>
      </c>
      <c r="K59" s="9" t="str">
        <f>IF(A59="","",IF(C59&gt;0, E59/C59, 0))</f>
        <v/>
      </c>
      <c r="L59" s="6" t="str">
        <f>IF(A59="","",IF(H59&gt;0, B59/H59, 0))</f>
        <v/>
      </c>
      <c r="M59" s="10" t="str">
        <f>IF(A59="","",IF(B59&gt;0, I59/B59, 0))</f>
        <v/>
      </c>
      <c r="N59" s="9" t="str">
        <f>IF(A59="","",IF(F59&gt;0, G59/F59, 0))</f>
        <v/>
      </c>
      <c r="O59" s="9" t="str">
        <f>IF(A59="","",IF(G59&gt;0, H59/G59, 0))</f>
        <v/>
      </c>
      <c r="P59" s="8"/>
    </row>
    <row r="60" spans="1:16" ht="16.5" x14ac:dyDescent="0.3">
      <c r="A60" s="12"/>
      <c r="B60" s="6"/>
      <c r="C60" s="7"/>
      <c r="D60" s="7"/>
      <c r="E60" s="7"/>
      <c r="F60" s="7"/>
      <c r="G60" s="7"/>
      <c r="H60" s="7"/>
      <c r="I60" s="6"/>
      <c r="J60" s="6" t="str">
        <f>IF(A60="","",IF(E60&gt;0, B60/E60, 0))</f>
        <v/>
      </c>
      <c r="K60" s="9" t="str">
        <f>IF(A60="","",IF(C60&gt;0, E60/C60, 0))</f>
        <v/>
      </c>
      <c r="L60" s="6" t="str">
        <f>IF(A60="","",IF(H60&gt;0, B60/H60, 0))</f>
        <v/>
      </c>
      <c r="M60" s="10" t="str">
        <f>IF(A60="","",IF(B60&gt;0, I60/B60, 0))</f>
        <v/>
      </c>
      <c r="N60" s="9" t="str">
        <f>IF(A60="","",IF(F60&gt;0, G60/F60, 0))</f>
        <v/>
      </c>
      <c r="O60" s="9" t="str">
        <f>IF(A60="","",IF(G60&gt;0, H60/G60, 0))</f>
        <v/>
      </c>
      <c r="P60" s="8"/>
    </row>
    <row r="61" spans="1:16" ht="16.5" x14ac:dyDescent="0.3">
      <c r="A61" s="11"/>
      <c r="B61" s="6"/>
      <c r="C61" s="7"/>
      <c r="D61" s="7"/>
      <c r="E61" s="7"/>
      <c r="F61" s="7"/>
      <c r="G61" s="7"/>
      <c r="H61" s="7"/>
      <c r="I61" s="6"/>
      <c r="J61" s="6" t="str">
        <f>IF(A61="","",IF(E61&gt;0, B61/E61, 0))</f>
        <v/>
      </c>
      <c r="K61" s="9" t="str">
        <f>IF(A61="","",IF(C61&gt;0, E61/C61, 0))</f>
        <v/>
      </c>
      <c r="L61" s="6" t="str">
        <f>IF(A61="","",IF(H61&gt;0, B61/H61, 0))</f>
        <v/>
      </c>
      <c r="M61" s="10" t="str">
        <f>IF(A61="","",IF(B61&gt;0, I61/B61, 0))</f>
        <v/>
      </c>
      <c r="N61" s="9" t="str">
        <f>IF(A61="","",IF(F61&gt;0, G61/F61, 0))</f>
        <v/>
      </c>
      <c r="O61" s="9" t="str">
        <f>IF(A61="","",IF(G61&gt;0, H61/G61, 0))</f>
        <v/>
      </c>
      <c r="P61" s="8"/>
    </row>
    <row r="62" spans="1:16" ht="16.5" x14ac:dyDescent="0.3">
      <c r="A62" s="12"/>
      <c r="B62" s="6"/>
      <c r="C62" s="7"/>
      <c r="D62" s="7"/>
      <c r="E62" s="7"/>
      <c r="F62" s="7"/>
      <c r="G62" s="7"/>
      <c r="H62" s="7"/>
      <c r="I62" s="6"/>
      <c r="J62" s="6" t="str">
        <f>IF(A62="","",IF(E62&gt;0, B62/E62, 0))</f>
        <v/>
      </c>
      <c r="K62" s="9" t="str">
        <f>IF(A62="","",IF(C62&gt;0, E62/C62, 0))</f>
        <v/>
      </c>
      <c r="L62" s="6" t="str">
        <f>IF(A62="","",IF(H62&gt;0, B62/H62, 0))</f>
        <v/>
      </c>
      <c r="M62" s="10" t="str">
        <f>IF(A62="","",IF(B62&gt;0, I62/B62, 0))</f>
        <v/>
      </c>
      <c r="N62" s="9" t="str">
        <f>IF(A62="","",IF(F62&gt;0, G62/F62, 0))</f>
        <v/>
      </c>
      <c r="O62" s="9" t="str">
        <f>IF(A62="","",IF(G62&gt;0, H62/G62, 0))</f>
        <v/>
      </c>
      <c r="P62" s="8"/>
    </row>
    <row r="63" spans="1:16" ht="16.5" x14ac:dyDescent="0.3">
      <c r="A63" s="11"/>
      <c r="B63" s="6"/>
      <c r="C63" s="7"/>
      <c r="D63" s="7"/>
      <c r="E63" s="7"/>
      <c r="F63" s="7"/>
      <c r="G63" s="7"/>
      <c r="H63" s="7"/>
      <c r="I63" s="6"/>
      <c r="J63" s="6" t="str">
        <f>IF(A63="","",IF(E63&gt;0, B63/E63, 0))</f>
        <v/>
      </c>
      <c r="K63" s="9" t="str">
        <f>IF(A63="","",IF(C63&gt;0, E63/C63, 0))</f>
        <v/>
      </c>
      <c r="L63" s="6" t="str">
        <f>IF(A63="","",IF(H63&gt;0, B63/H63, 0))</f>
        <v/>
      </c>
      <c r="M63" s="10" t="str">
        <f>IF(A63="","",IF(B63&gt;0, I63/B63, 0))</f>
        <v/>
      </c>
      <c r="N63" s="9" t="str">
        <f>IF(A63="","",IF(F63&gt;0, G63/F63, 0))</f>
        <v/>
      </c>
      <c r="O63" s="9" t="str">
        <f>IF(A63="","",IF(G63&gt;0, H63/G63, 0))</f>
        <v/>
      </c>
      <c r="P63" s="8"/>
    </row>
    <row r="64" spans="1:16" ht="16.5" x14ac:dyDescent="0.3">
      <c r="A64" s="12"/>
      <c r="B64" s="6"/>
      <c r="C64" s="7"/>
      <c r="D64" s="7"/>
      <c r="E64" s="7"/>
      <c r="F64" s="7"/>
      <c r="G64" s="7"/>
      <c r="H64" s="7"/>
      <c r="I64" s="6"/>
      <c r="J64" s="6" t="str">
        <f>IF(A64="","",IF(E64&gt;0, B64/E64, 0))</f>
        <v/>
      </c>
      <c r="K64" s="9" t="str">
        <f>IF(A64="","",IF(C64&gt;0, E64/C64, 0))</f>
        <v/>
      </c>
      <c r="L64" s="6" t="str">
        <f>IF(A64="","",IF(H64&gt;0, B64/H64, 0))</f>
        <v/>
      </c>
      <c r="M64" s="10" t="str">
        <f>IF(A64="","",IF(B64&gt;0, I64/B64, 0))</f>
        <v/>
      </c>
      <c r="N64" s="9" t="str">
        <f>IF(A64="","",IF(F64&gt;0, G64/F64, 0))</f>
        <v/>
      </c>
      <c r="O64" s="9" t="str">
        <f>IF(A64="","",IF(G64&gt;0, H64/G64, 0))</f>
        <v/>
      </c>
      <c r="P64" s="8"/>
    </row>
    <row r="65" spans="1:16" ht="16.5" x14ac:dyDescent="0.3">
      <c r="A65" s="11"/>
      <c r="B65" s="6"/>
      <c r="C65" s="7"/>
      <c r="D65" s="7"/>
      <c r="E65" s="7"/>
      <c r="F65" s="7"/>
      <c r="G65" s="7"/>
      <c r="H65" s="7"/>
      <c r="I65" s="6"/>
      <c r="J65" s="6" t="str">
        <f>IF(A65="","",IF(E65&gt;0, B65/E65, 0))</f>
        <v/>
      </c>
      <c r="K65" s="9" t="str">
        <f>IF(A65="","",IF(C65&gt;0, E65/C65, 0))</f>
        <v/>
      </c>
      <c r="L65" s="6" t="str">
        <f>IF(A65="","",IF(H65&gt;0, B65/H65, 0))</f>
        <v/>
      </c>
      <c r="M65" s="10" t="str">
        <f>IF(A65="","",IF(B65&gt;0, I65/B65, 0))</f>
        <v/>
      </c>
      <c r="N65" s="9" t="str">
        <f>IF(A65="","",IF(F65&gt;0, G65/F65, 0))</f>
        <v/>
      </c>
      <c r="O65" s="9" t="str">
        <f>IF(A65="","",IF(G65&gt;0, H65/G65, 0))</f>
        <v/>
      </c>
      <c r="P65" s="8"/>
    </row>
    <row r="66" spans="1:16" ht="16.5" x14ac:dyDescent="0.3">
      <c r="A66" s="12"/>
      <c r="B66" s="6"/>
      <c r="C66" s="7"/>
      <c r="D66" s="7"/>
      <c r="E66" s="7"/>
      <c r="F66" s="7"/>
      <c r="G66" s="7"/>
      <c r="H66" s="7"/>
      <c r="I66" s="6"/>
      <c r="J66" s="6" t="str">
        <f>IF(A66="","",IF(E66&gt;0, B66/E66, 0))</f>
        <v/>
      </c>
      <c r="K66" s="9" t="str">
        <f>IF(A66="","",IF(C66&gt;0, E66/C66, 0))</f>
        <v/>
      </c>
      <c r="L66" s="6" t="str">
        <f>IF(A66="","",IF(H66&gt;0, B66/H66, 0))</f>
        <v/>
      </c>
      <c r="M66" s="10" t="str">
        <f>IF(A66="","",IF(B66&gt;0, I66/B66, 0))</f>
        <v/>
      </c>
      <c r="N66" s="9" t="str">
        <f>IF(A66="","",IF(F66&gt;0, G66/F66, 0))</f>
        <v/>
      </c>
      <c r="O66" s="9" t="str">
        <f>IF(A66="","",IF(G66&gt;0, H66/G66, 0))</f>
        <v/>
      </c>
      <c r="P66" s="8"/>
    </row>
    <row r="67" spans="1:16" ht="16.5" x14ac:dyDescent="0.3">
      <c r="A67" s="11"/>
      <c r="B67" s="6"/>
      <c r="C67" s="7"/>
      <c r="D67" s="7"/>
      <c r="E67" s="7"/>
      <c r="F67" s="7"/>
      <c r="G67" s="7"/>
      <c r="H67" s="7"/>
      <c r="I67" s="6"/>
      <c r="J67" s="6" t="str">
        <f>IF(A67="","",IF(E67&gt;0, B67/E67, 0))</f>
        <v/>
      </c>
      <c r="K67" s="9" t="str">
        <f>IF(A67="","",IF(C67&gt;0, E67/C67, 0))</f>
        <v/>
      </c>
      <c r="L67" s="6" t="str">
        <f>IF(A67="","",IF(H67&gt;0, B67/H67, 0))</f>
        <v/>
      </c>
      <c r="M67" s="10" t="str">
        <f>IF(A67="","",IF(B67&gt;0, I67/B67, 0))</f>
        <v/>
      </c>
      <c r="N67" s="9" t="str">
        <f>IF(A67="","",IF(F67&gt;0, G67/F67, 0))</f>
        <v/>
      </c>
      <c r="O67" s="9" t="str">
        <f>IF(A67="","",IF(G67&gt;0, H67/G67, 0))</f>
        <v/>
      </c>
      <c r="P67" s="8"/>
    </row>
    <row r="68" spans="1:16" ht="16.5" x14ac:dyDescent="0.3">
      <c r="A68" s="12"/>
      <c r="B68" s="6"/>
      <c r="C68" s="7"/>
      <c r="D68" s="7"/>
      <c r="E68" s="7"/>
      <c r="F68" s="7"/>
      <c r="G68" s="7"/>
      <c r="H68" s="7"/>
      <c r="I68" s="6"/>
      <c r="J68" s="6" t="str">
        <f>IF(A68="","",IF(E68&gt;0, B68/E68, 0))</f>
        <v/>
      </c>
      <c r="K68" s="9" t="str">
        <f>IF(A68="","",IF(C68&gt;0, E68/C68, 0))</f>
        <v/>
      </c>
      <c r="L68" s="6" t="str">
        <f>IF(A68="","",IF(H68&gt;0, B68/H68, 0))</f>
        <v/>
      </c>
      <c r="M68" s="10" t="str">
        <f>IF(A68="","",IF(B68&gt;0, I68/B68, 0))</f>
        <v/>
      </c>
      <c r="N68" s="9" t="str">
        <f>IF(A68="","",IF(F68&gt;0, G68/F68, 0))</f>
        <v/>
      </c>
      <c r="O68" s="9" t="str">
        <f>IF(A68="","",IF(G68&gt;0, H68/G68, 0))</f>
        <v/>
      </c>
      <c r="P68" s="8"/>
    </row>
    <row r="69" spans="1:16" ht="16.5" x14ac:dyDescent="0.3">
      <c r="A69" s="11"/>
      <c r="B69" s="6"/>
      <c r="C69" s="7"/>
      <c r="D69" s="7"/>
      <c r="E69" s="7"/>
      <c r="F69" s="7"/>
      <c r="G69" s="7"/>
      <c r="H69" s="7"/>
      <c r="I69" s="6"/>
      <c r="J69" s="6" t="str">
        <f>IF(A69="","",IF(E69&gt;0, B69/E69, 0))</f>
        <v/>
      </c>
      <c r="K69" s="9" t="str">
        <f>IF(A69="","",IF(C69&gt;0, E69/C69, 0))</f>
        <v/>
      </c>
      <c r="L69" s="6" t="str">
        <f>IF(A69="","",IF(H69&gt;0, B69/H69, 0))</f>
        <v/>
      </c>
      <c r="M69" s="10" t="str">
        <f>IF(A69="","",IF(B69&gt;0, I69/B69, 0))</f>
        <v/>
      </c>
      <c r="N69" s="9" t="str">
        <f>IF(A69="","",IF(F69&gt;0, G69/F69, 0))</f>
        <v/>
      </c>
      <c r="O69" s="9" t="str">
        <f>IF(A69="","",IF(G69&gt;0, H69/G69, 0))</f>
        <v/>
      </c>
      <c r="P69" s="8"/>
    </row>
    <row r="70" spans="1:16" ht="16.5" x14ac:dyDescent="0.3">
      <c r="A70" s="12"/>
      <c r="B70" s="6"/>
      <c r="C70" s="7"/>
      <c r="D70" s="7"/>
      <c r="E70" s="7"/>
      <c r="F70" s="7"/>
      <c r="G70" s="7"/>
      <c r="H70" s="7"/>
      <c r="I70" s="6"/>
      <c r="J70" s="6" t="str">
        <f>IF(A70="","",IF(E70&gt;0, B70/E70, 0))</f>
        <v/>
      </c>
      <c r="K70" s="9" t="str">
        <f>IF(A70="","",IF(C70&gt;0, E70/C70, 0))</f>
        <v/>
      </c>
      <c r="L70" s="6" t="str">
        <f>IF(A70="","",IF(H70&gt;0, B70/H70, 0))</f>
        <v/>
      </c>
      <c r="M70" s="10" t="str">
        <f>IF(A70="","",IF(B70&gt;0, I70/B70, 0))</f>
        <v/>
      </c>
      <c r="N70" s="9" t="str">
        <f>IF(A70="","",IF(F70&gt;0, G70/F70, 0))</f>
        <v/>
      </c>
      <c r="O70" s="9" t="str">
        <f>IF(A70="","",IF(G70&gt;0, H70/G70, 0))</f>
        <v/>
      </c>
      <c r="P70" s="8"/>
    </row>
    <row r="71" spans="1:16" ht="16.5" x14ac:dyDescent="0.3">
      <c r="A71" s="11"/>
      <c r="B71" s="6"/>
      <c r="C71" s="7"/>
      <c r="D71" s="7"/>
      <c r="E71" s="7"/>
      <c r="F71" s="7"/>
      <c r="G71" s="7"/>
      <c r="H71" s="7"/>
      <c r="I71" s="6"/>
      <c r="J71" s="6" t="str">
        <f>IF(A71="","",IF(E71&gt;0, B71/E71, 0))</f>
        <v/>
      </c>
      <c r="K71" s="9" t="str">
        <f>IF(A71="","",IF(C71&gt;0, E71/C71, 0))</f>
        <v/>
      </c>
      <c r="L71" s="6" t="str">
        <f>IF(A71="","",IF(H71&gt;0, B71/H71, 0))</f>
        <v/>
      </c>
      <c r="M71" s="10" t="str">
        <f>IF(A71="","",IF(B71&gt;0, I71/B71, 0))</f>
        <v/>
      </c>
      <c r="N71" s="9" t="str">
        <f>IF(A71="","",IF(F71&gt;0, G71/F71, 0))</f>
        <v/>
      </c>
      <c r="O71" s="9" t="str">
        <f>IF(A71="","",IF(G71&gt;0, H71/G71, 0))</f>
        <v/>
      </c>
      <c r="P71" s="8"/>
    </row>
    <row r="72" spans="1:16" ht="16.5" x14ac:dyDescent="0.3">
      <c r="A72" s="12"/>
      <c r="B72" s="6"/>
      <c r="C72" s="7"/>
      <c r="D72" s="7"/>
      <c r="E72" s="7"/>
      <c r="F72" s="7"/>
      <c r="G72" s="7"/>
      <c r="H72" s="7"/>
      <c r="I72" s="6"/>
      <c r="J72" s="6" t="str">
        <f>IF(A72="","",IF(E72&gt;0, B72/E72, 0))</f>
        <v/>
      </c>
      <c r="K72" s="9" t="str">
        <f>IF(A72="","",IF(C72&gt;0, E72/C72, 0))</f>
        <v/>
      </c>
      <c r="L72" s="6" t="str">
        <f>IF(A72="","",IF(H72&gt;0, B72/H72, 0))</f>
        <v/>
      </c>
      <c r="M72" s="10" t="str">
        <f>IF(A72="","",IF(B72&gt;0, I72/B72, 0))</f>
        <v/>
      </c>
      <c r="N72" s="9" t="str">
        <f>IF(A72="","",IF(F72&gt;0, G72/F72, 0))</f>
        <v/>
      </c>
      <c r="O72" s="9" t="str">
        <f>IF(A72="","",IF(G72&gt;0, H72/G72, 0))</f>
        <v/>
      </c>
      <c r="P72" s="8"/>
    </row>
    <row r="73" spans="1:16" ht="16.5" x14ac:dyDescent="0.3">
      <c r="A73" s="11"/>
      <c r="B73" s="6"/>
      <c r="C73" s="7"/>
      <c r="D73" s="7"/>
      <c r="E73" s="7"/>
      <c r="F73" s="7"/>
      <c r="G73" s="7"/>
      <c r="H73" s="7"/>
      <c r="I73" s="6"/>
      <c r="J73" s="6" t="str">
        <f>IF(A73="","",IF(E73&gt;0, B73/E73, 0))</f>
        <v/>
      </c>
      <c r="K73" s="9" t="str">
        <f>IF(A73="","",IF(C73&gt;0, E73/C73, 0))</f>
        <v/>
      </c>
      <c r="L73" s="6" t="str">
        <f>IF(A73="","",IF(H73&gt;0, B73/H73, 0))</f>
        <v/>
      </c>
      <c r="M73" s="10" t="str">
        <f>IF(A73="","",IF(B73&gt;0, I73/B73, 0))</f>
        <v/>
      </c>
      <c r="N73" s="9" t="str">
        <f>IF(A73="","",IF(F73&gt;0, G73/F73, 0))</f>
        <v/>
      </c>
      <c r="O73" s="9" t="str">
        <f>IF(A73="","",IF(G73&gt;0, H73/G73, 0))</f>
        <v/>
      </c>
      <c r="P73" s="8"/>
    </row>
    <row r="74" spans="1:16" ht="16.5" x14ac:dyDescent="0.3">
      <c r="A74" s="12"/>
      <c r="B74" s="6"/>
      <c r="C74" s="7"/>
      <c r="D74" s="7"/>
      <c r="E74" s="7"/>
      <c r="F74" s="7"/>
      <c r="G74" s="7"/>
      <c r="H74" s="7"/>
      <c r="I74" s="6"/>
      <c r="J74" s="6" t="str">
        <f>IF(A74="","",IF(E74&gt;0, B74/E74, 0))</f>
        <v/>
      </c>
      <c r="K74" s="9" t="str">
        <f>IF(A74="","",IF(C74&gt;0, E74/C74, 0))</f>
        <v/>
      </c>
      <c r="L74" s="6" t="str">
        <f>IF(A74="","",IF(H74&gt;0, B74/H74, 0))</f>
        <v/>
      </c>
      <c r="M74" s="10" t="str">
        <f>IF(A74="","",IF(B74&gt;0, I74/B74, 0))</f>
        <v/>
      </c>
      <c r="N74" s="9" t="str">
        <f>IF(A74="","",IF(F74&gt;0, G74/F74, 0))</f>
        <v/>
      </c>
      <c r="O74" s="9" t="str">
        <f>IF(A74="","",IF(G74&gt;0, H74/G74, 0))</f>
        <v/>
      </c>
      <c r="P74" s="8"/>
    </row>
    <row r="75" spans="1:16" ht="16.5" x14ac:dyDescent="0.3">
      <c r="A75" s="11"/>
      <c r="B75" s="6"/>
      <c r="C75" s="7"/>
      <c r="D75" s="7"/>
      <c r="E75" s="7"/>
      <c r="F75" s="7"/>
      <c r="G75" s="7"/>
      <c r="H75" s="7"/>
      <c r="I75" s="6"/>
      <c r="J75" s="6" t="str">
        <f>IF(A75="","",IF(E75&gt;0, B75/E75, 0))</f>
        <v/>
      </c>
      <c r="K75" s="9" t="str">
        <f>IF(A75="","",IF(C75&gt;0, E75/C75, 0))</f>
        <v/>
      </c>
      <c r="L75" s="6" t="str">
        <f>IF(A75="","",IF(H75&gt;0, B75/H75, 0))</f>
        <v/>
      </c>
      <c r="M75" s="10" t="str">
        <f>IF(A75="","",IF(B75&gt;0, I75/B75, 0))</f>
        <v/>
      </c>
      <c r="N75" s="9" t="str">
        <f>IF(A75="","",IF(F75&gt;0, G75/F75, 0))</f>
        <v/>
      </c>
      <c r="O75" s="9" t="str">
        <f>IF(A75="","",IF(G75&gt;0, H75/G75, 0))</f>
        <v/>
      </c>
      <c r="P75" s="8"/>
    </row>
    <row r="76" spans="1:16" ht="16.5" x14ac:dyDescent="0.3">
      <c r="A76" s="12"/>
      <c r="B76" s="6"/>
      <c r="C76" s="7"/>
      <c r="D76" s="7"/>
      <c r="E76" s="7"/>
      <c r="F76" s="7"/>
      <c r="G76" s="7"/>
      <c r="H76" s="7"/>
      <c r="I76" s="6"/>
      <c r="J76" s="6" t="str">
        <f>IF(A76="","",IF(E76&gt;0, B76/E76, 0))</f>
        <v/>
      </c>
      <c r="K76" s="9" t="str">
        <f>IF(A76="","",IF(C76&gt;0, E76/C76, 0))</f>
        <v/>
      </c>
      <c r="L76" s="6" t="str">
        <f>IF(A76="","",IF(H76&gt;0, B76/H76, 0))</f>
        <v/>
      </c>
      <c r="M76" s="10" t="str">
        <f>IF(A76="","",IF(B76&gt;0, I76/B76, 0))</f>
        <v/>
      </c>
      <c r="N76" s="9" t="str">
        <f>IF(A76="","",IF(F76&gt;0, G76/F76, 0))</f>
        <v/>
      </c>
      <c r="O76" s="9" t="str">
        <f>IF(A76="","",IF(G76&gt;0, H76/G76, 0))</f>
        <v/>
      </c>
      <c r="P76" s="8"/>
    </row>
    <row r="77" spans="1:16" ht="16.5" x14ac:dyDescent="0.3">
      <c r="A77" s="11"/>
      <c r="B77" s="6"/>
      <c r="C77" s="7"/>
      <c r="D77" s="7"/>
      <c r="E77" s="7"/>
      <c r="F77" s="7"/>
      <c r="G77" s="7"/>
      <c r="H77" s="7"/>
      <c r="I77" s="6"/>
      <c r="J77" s="6" t="str">
        <f>IF(A77="","",IF(E77&gt;0, B77/E77, 0))</f>
        <v/>
      </c>
      <c r="K77" s="9" t="str">
        <f>IF(A77="","",IF(C77&gt;0, E77/C77, 0))</f>
        <v/>
      </c>
      <c r="L77" s="6" t="str">
        <f>IF(A77="","",IF(H77&gt;0, B77/H77, 0))</f>
        <v/>
      </c>
      <c r="M77" s="10" t="str">
        <f>IF(A77="","",IF(B77&gt;0, I77/B77, 0))</f>
        <v/>
      </c>
      <c r="N77" s="9" t="str">
        <f>IF(A77="","",IF(F77&gt;0, G77/F77, 0))</f>
        <v/>
      </c>
      <c r="O77" s="9" t="str">
        <f>IF(A77="","",IF(G77&gt;0, H77/G77, 0))</f>
        <v/>
      </c>
      <c r="P77" s="8"/>
    </row>
    <row r="78" spans="1:16" ht="16.5" x14ac:dyDescent="0.3">
      <c r="A78" s="12"/>
      <c r="B78" s="6"/>
      <c r="C78" s="7"/>
      <c r="D78" s="7"/>
      <c r="E78" s="7"/>
      <c r="F78" s="7"/>
      <c r="G78" s="7"/>
      <c r="H78" s="7"/>
      <c r="I78" s="6"/>
      <c r="J78" s="6" t="str">
        <f>IF(A78="","",IF(E78&gt;0, B78/E78, 0))</f>
        <v/>
      </c>
      <c r="K78" s="9" t="str">
        <f>IF(A78="","",IF(C78&gt;0, E78/C78, 0))</f>
        <v/>
      </c>
      <c r="L78" s="6" t="str">
        <f>IF(A78="","",IF(H78&gt;0, B78/H78, 0))</f>
        <v/>
      </c>
      <c r="M78" s="10" t="str">
        <f>IF(A78="","",IF(B78&gt;0, I78/B78, 0))</f>
        <v/>
      </c>
      <c r="N78" s="9" t="str">
        <f>IF(A78="","",IF(F78&gt;0, G78/F78, 0))</f>
        <v/>
      </c>
      <c r="O78" s="9" t="str">
        <f>IF(A78="","",IF(G78&gt;0, H78/G78, 0))</f>
        <v/>
      </c>
      <c r="P78" s="8"/>
    </row>
    <row r="79" spans="1:16" ht="16.5" x14ac:dyDescent="0.3">
      <c r="A79" s="11"/>
      <c r="B79" s="6"/>
      <c r="C79" s="7"/>
      <c r="D79" s="7"/>
      <c r="E79" s="7"/>
      <c r="F79" s="7"/>
      <c r="G79" s="7"/>
      <c r="H79" s="7"/>
      <c r="I79" s="6"/>
      <c r="J79" s="6" t="str">
        <f>IF(A79="","",IF(E79&gt;0, B79/E79, 0))</f>
        <v/>
      </c>
      <c r="K79" s="9" t="str">
        <f>IF(A79="","",IF(C79&gt;0, E79/C79, 0))</f>
        <v/>
      </c>
      <c r="L79" s="6" t="str">
        <f>IF(A79="","",IF(H79&gt;0, B79/H79, 0))</f>
        <v/>
      </c>
      <c r="M79" s="10" t="str">
        <f>IF(A79="","",IF(B79&gt;0, I79/B79, 0))</f>
        <v/>
      </c>
      <c r="N79" s="9" t="str">
        <f>IF(A79="","",IF(F79&gt;0, G79/F79, 0))</f>
        <v/>
      </c>
      <c r="O79" s="9" t="str">
        <f>IF(A79="","",IF(G79&gt;0, H79/G79, 0))</f>
        <v/>
      </c>
      <c r="P79" s="8"/>
    </row>
    <row r="80" spans="1:16" ht="16.5" x14ac:dyDescent="0.3">
      <c r="A80" s="12"/>
      <c r="B80" s="6"/>
      <c r="C80" s="7"/>
      <c r="D80" s="7"/>
      <c r="E80" s="7"/>
      <c r="F80" s="7"/>
      <c r="G80" s="7"/>
      <c r="H80" s="7"/>
      <c r="I80" s="6"/>
      <c r="J80" s="6" t="str">
        <f>IF(A80="","",IF(E80&gt;0, B80/E80, 0))</f>
        <v/>
      </c>
      <c r="K80" s="9" t="str">
        <f>IF(A80="","",IF(C80&gt;0, E80/C80, 0))</f>
        <v/>
      </c>
      <c r="L80" s="6" t="str">
        <f>IF(A80="","",IF(H80&gt;0, B80/H80, 0))</f>
        <v/>
      </c>
      <c r="M80" s="10" t="str">
        <f>IF(A80="","",IF(B80&gt;0, I80/B80, 0))</f>
        <v/>
      </c>
      <c r="N80" s="9" t="str">
        <f>IF(A80="","",IF(F80&gt;0, G80/F80, 0))</f>
        <v/>
      </c>
      <c r="O80" s="9" t="str">
        <f>IF(A80="","",IF(G80&gt;0, H80/G80, 0))</f>
        <v/>
      </c>
      <c r="P80" s="8"/>
    </row>
    <row r="81" spans="1:16" ht="16.5" x14ac:dyDescent="0.3">
      <c r="A81" s="11"/>
      <c r="B81" s="6"/>
      <c r="C81" s="7"/>
      <c r="D81" s="7"/>
      <c r="E81" s="7"/>
      <c r="F81" s="7"/>
      <c r="G81" s="7"/>
      <c r="H81" s="7"/>
      <c r="I81" s="6"/>
      <c r="J81" s="6" t="str">
        <f>IF(A81="","",IF(E81&gt;0, B81/E81, 0))</f>
        <v/>
      </c>
      <c r="K81" s="9" t="str">
        <f>IF(A81="","",IF(C81&gt;0, E81/C81, 0))</f>
        <v/>
      </c>
      <c r="L81" s="6" t="str">
        <f>IF(A81="","",IF(H81&gt;0, B81/H81, 0))</f>
        <v/>
      </c>
      <c r="M81" s="10" t="str">
        <f>IF(A81="","",IF(B81&gt;0, I81/B81, 0))</f>
        <v/>
      </c>
      <c r="N81" s="9" t="str">
        <f>IF(A81="","",IF(F81&gt;0, G81/F81, 0))</f>
        <v/>
      </c>
      <c r="O81" s="9" t="str">
        <f>IF(A81="","",IF(G81&gt;0, H81/G81, 0))</f>
        <v/>
      </c>
      <c r="P81" s="8"/>
    </row>
    <row r="82" spans="1:16" ht="16.5" x14ac:dyDescent="0.3">
      <c r="A82" s="12"/>
      <c r="B82" s="6"/>
      <c r="C82" s="7"/>
      <c r="D82" s="7"/>
      <c r="E82" s="7"/>
      <c r="F82" s="7"/>
      <c r="G82" s="7"/>
      <c r="H82" s="7"/>
      <c r="I82" s="6"/>
      <c r="J82" s="6" t="str">
        <f>IF(A82="","",IF(E82&gt;0, B82/E82, 0))</f>
        <v/>
      </c>
      <c r="K82" s="9" t="str">
        <f>IF(A82="","",IF(C82&gt;0, E82/C82, 0))</f>
        <v/>
      </c>
      <c r="L82" s="6" t="str">
        <f>IF(A82="","",IF(H82&gt;0, B82/H82, 0))</f>
        <v/>
      </c>
      <c r="M82" s="10" t="str">
        <f>IF(A82="","",IF(B82&gt;0, I82/B82, 0))</f>
        <v/>
      </c>
      <c r="N82" s="9" t="str">
        <f>IF(A82="","",IF(F82&gt;0, G82/F82, 0))</f>
        <v/>
      </c>
      <c r="O82" s="9" t="str">
        <f>IF(A82="","",IF(G82&gt;0, H82/G82, 0))</f>
        <v/>
      </c>
      <c r="P82" s="8"/>
    </row>
    <row r="83" spans="1:16" ht="16.5" x14ac:dyDescent="0.3">
      <c r="A83" s="11"/>
      <c r="B83" s="6"/>
      <c r="C83" s="7"/>
      <c r="D83" s="7"/>
      <c r="E83" s="7"/>
      <c r="F83" s="7"/>
      <c r="G83" s="7"/>
      <c r="H83" s="7"/>
      <c r="I83" s="6"/>
      <c r="J83" s="6" t="str">
        <f>IF(A83="","",IF(E83&gt;0, B83/E83, 0))</f>
        <v/>
      </c>
      <c r="K83" s="9" t="str">
        <f>IF(A83="","",IF(C83&gt;0, E83/C83, 0))</f>
        <v/>
      </c>
      <c r="L83" s="6" t="str">
        <f>IF(A83="","",IF(H83&gt;0, B83/H83, 0))</f>
        <v/>
      </c>
      <c r="M83" s="10" t="str">
        <f>IF(A83="","",IF(B83&gt;0, I83/B83, 0))</f>
        <v/>
      </c>
      <c r="N83" s="9" t="str">
        <f>IF(A83="","",IF(F83&gt;0, G83/F83, 0))</f>
        <v/>
      </c>
      <c r="O83" s="9" t="str">
        <f>IF(A83="","",IF(G83&gt;0, H83/G83, 0))</f>
        <v/>
      </c>
      <c r="P83" s="8"/>
    </row>
    <row r="84" spans="1:16" ht="16.5" x14ac:dyDescent="0.3">
      <c r="A84" s="12"/>
      <c r="B84" s="6"/>
      <c r="C84" s="7"/>
      <c r="D84" s="7"/>
      <c r="E84" s="7"/>
      <c r="F84" s="7"/>
      <c r="G84" s="7"/>
      <c r="H84" s="7"/>
      <c r="I84" s="6"/>
      <c r="J84" s="6" t="str">
        <f>IF(A84="","",IF(E84&gt;0, B84/E84, 0))</f>
        <v/>
      </c>
      <c r="K84" s="9" t="str">
        <f>IF(A84="","",IF(C84&gt;0, E84/C84, 0))</f>
        <v/>
      </c>
      <c r="L84" s="6" t="str">
        <f>IF(A84="","",IF(H84&gt;0, B84/H84, 0))</f>
        <v/>
      </c>
      <c r="M84" s="10" t="str">
        <f>IF(A84="","",IF(B84&gt;0, I84/B84, 0))</f>
        <v/>
      </c>
      <c r="N84" s="9" t="str">
        <f>IF(A84="","",IF(F84&gt;0, G84/F84, 0))</f>
        <v/>
      </c>
      <c r="O84" s="9" t="str">
        <f>IF(A84="","",IF(G84&gt;0, H84/G84, 0))</f>
        <v/>
      </c>
      <c r="P84" s="8"/>
    </row>
    <row r="85" spans="1:16" ht="16.5" x14ac:dyDescent="0.3">
      <c r="A85" s="11"/>
      <c r="B85" s="6"/>
      <c r="C85" s="7"/>
      <c r="D85" s="7"/>
      <c r="E85" s="7"/>
      <c r="F85" s="7"/>
      <c r="G85" s="7"/>
      <c r="H85" s="7"/>
      <c r="I85" s="6"/>
      <c r="J85" s="6" t="str">
        <f>IF(A85="","",IF(E85&gt;0, B85/E85, 0))</f>
        <v/>
      </c>
      <c r="K85" s="9" t="str">
        <f>IF(A85="","",IF(C85&gt;0, E85/C85, 0))</f>
        <v/>
      </c>
      <c r="L85" s="6" t="str">
        <f>IF(A85="","",IF(H85&gt;0, B85/H85, 0))</f>
        <v/>
      </c>
      <c r="M85" s="10" t="str">
        <f>IF(A85="","",IF(B85&gt;0, I85/B85, 0))</f>
        <v/>
      </c>
      <c r="N85" s="9" t="str">
        <f>IF(A85="","",IF(F85&gt;0, G85/F85, 0))</f>
        <v/>
      </c>
      <c r="O85" s="9" t="str">
        <f>IF(A85="","",IF(G85&gt;0, H85/G85, 0))</f>
        <v/>
      </c>
      <c r="P85" s="8"/>
    </row>
    <row r="86" spans="1:16" ht="16.5" x14ac:dyDescent="0.3">
      <c r="A86" s="12"/>
      <c r="B86" s="6"/>
      <c r="C86" s="7"/>
      <c r="D86" s="7"/>
      <c r="E86" s="7"/>
      <c r="F86" s="7"/>
      <c r="G86" s="7"/>
      <c r="H86" s="7"/>
      <c r="I86" s="6"/>
      <c r="J86" s="6" t="str">
        <f>IF(A86="","",IF(E86&gt;0, B86/E86, 0))</f>
        <v/>
      </c>
      <c r="K86" s="9" t="str">
        <f>IF(A86="","",IF(C86&gt;0, E86/C86, 0))</f>
        <v/>
      </c>
      <c r="L86" s="6" t="str">
        <f>IF(A86="","",IF(H86&gt;0, B86/H86, 0))</f>
        <v/>
      </c>
      <c r="M86" s="10" t="str">
        <f>IF(A86="","",IF(B86&gt;0, I86/B86, 0))</f>
        <v/>
      </c>
      <c r="N86" s="9" t="str">
        <f>IF(A86="","",IF(F86&gt;0, G86/F86, 0))</f>
        <v/>
      </c>
      <c r="O86" s="9" t="str">
        <f>IF(A86="","",IF(G86&gt;0, H86/G86, 0))</f>
        <v/>
      </c>
      <c r="P86" s="8"/>
    </row>
    <row r="87" spans="1:16" ht="16.5" x14ac:dyDescent="0.3">
      <c r="A87" s="11"/>
      <c r="B87" s="6"/>
      <c r="C87" s="7"/>
      <c r="D87" s="7"/>
      <c r="E87" s="7"/>
      <c r="F87" s="7"/>
      <c r="G87" s="7"/>
      <c r="H87" s="7"/>
      <c r="I87" s="6"/>
      <c r="J87" s="6" t="str">
        <f>IF(A87="","",IF(E87&gt;0, B87/E87, 0))</f>
        <v/>
      </c>
      <c r="K87" s="9" t="str">
        <f>IF(A87="","",IF(C87&gt;0, E87/C87, 0))</f>
        <v/>
      </c>
      <c r="L87" s="6" t="str">
        <f>IF(A87="","",IF(H87&gt;0, B87/H87, 0))</f>
        <v/>
      </c>
      <c r="M87" s="10" t="str">
        <f>IF(A87="","",IF(B87&gt;0, I87/B87, 0))</f>
        <v/>
      </c>
      <c r="N87" s="9" t="str">
        <f>IF(A87="","",IF(F87&gt;0, G87/F87, 0))</f>
        <v/>
      </c>
      <c r="O87" s="9" t="str">
        <f>IF(A87="","",IF(G87&gt;0, H87/G87, 0))</f>
        <v/>
      </c>
      <c r="P87" s="8"/>
    </row>
    <row r="88" spans="1:16" ht="16.5" x14ac:dyDescent="0.3">
      <c r="A88" s="12"/>
      <c r="B88" s="6"/>
      <c r="C88" s="7"/>
      <c r="D88" s="7"/>
      <c r="E88" s="7"/>
      <c r="F88" s="7"/>
      <c r="G88" s="7"/>
      <c r="H88" s="7"/>
      <c r="I88" s="6"/>
      <c r="J88" s="6" t="str">
        <f>IF(A88="","",IF(E88&gt;0, B88/E88, 0))</f>
        <v/>
      </c>
      <c r="K88" s="9" t="str">
        <f>IF(A88="","",IF(C88&gt;0, E88/C88, 0))</f>
        <v/>
      </c>
      <c r="L88" s="6" t="str">
        <f>IF(A88="","",IF(H88&gt;0, B88/H88, 0))</f>
        <v/>
      </c>
      <c r="M88" s="10" t="str">
        <f>IF(A88="","",IF(B88&gt;0, I88/B88, 0))</f>
        <v/>
      </c>
      <c r="N88" s="9" t="str">
        <f>IF(A88="","",IF(F88&gt;0, G88/F88, 0))</f>
        <v/>
      </c>
      <c r="O88" s="9" t="str">
        <f>IF(A88="","",IF(G88&gt;0, H88/G88, 0))</f>
        <v/>
      </c>
      <c r="P88" s="8"/>
    </row>
    <row r="89" spans="1:16" ht="16.5" x14ac:dyDescent="0.3">
      <c r="A89" s="11"/>
      <c r="B89" s="6"/>
      <c r="C89" s="7"/>
      <c r="D89" s="7"/>
      <c r="E89" s="7"/>
      <c r="F89" s="7"/>
      <c r="G89" s="7"/>
      <c r="H89" s="7"/>
      <c r="I89" s="6"/>
      <c r="J89" s="6" t="str">
        <f>IF(A89="","",IF(E89&gt;0, B89/E89, 0))</f>
        <v/>
      </c>
      <c r="K89" s="9" t="str">
        <f>IF(A89="","",IF(C89&gt;0, E89/C89, 0))</f>
        <v/>
      </c>
      <c r="L89" s="6" t="str">
        <f>IF(A89="","",IF(H89&gt;0, B89/H89, 0))</f>
        <v/>
      </c>
      <c r="M89" s="10" t="str">
        <f>IF(A89="","",IF(B89&gt;0, I89/B89, 0))</f>
        <v/>
      </c>
      <c r="N89" s="9" t="str">
        <f>IF(A89="","",IF(F89&gt;0, G89/F89, 0))</f>
        <v/>
      </c>
      <c r="O89" s="9" t="str">
        <f>IF(A89="","",IF(G89&gt;0, H89/G89, 0))</f>
        <v/>
      </c>
      <c r="P89" s="8"/>
    </row>
    <row r="90" spans="1:16" ht="16.5" x14ac:dyDescent="0.3">
      <c r="A90" s="12"/>
      <c r="B90" s="6"/>
      <c r="C90" s="7"/>
      <c r="D90" s="7"/>
      <c r="E90" s="7"/>
      <c r="F90" s="7"/>
      <c r="G90" s="7"/>
      <c r="H90" s="7"/>
      <c r="I90" s="6"/>
      <c r="J90" s="6" t="str">
        <f>IF(A90="","",IF(E90&gt;0, B90/E90, 0))</f>
        <v/>
      </c>
      <c r="K90" s="9" t="str">
        <f>IF(A90="","",IF(C90&gt;0, E90/C90, 0))</f>
        <v/>
      </c>
      <c r="L90" s="6" t="str">
        <f>IF(A90="","",IF(H90&gt;0, B90/H90, 0))</f>
        <v/>
      </c>
      <c r="M90" s="10" t="str">
        <f>IF(A90="","",IF(B90&gt;0, I90/B90, 0))</f>
        <v/>
      </c>
      <c r="N90" s="9" t="str">
        <f>IF(A90="","",IF(F90&gt;0, G90/F90, 0))</f>
        <v/>
      </c>
      <c r="O90" s="9" t="str">
        <f>IF(A90="","",IF(G90&gt;0, H90/G90, 0))</f>
        <v/>
      </c>
      <c r="P90" s="8"/>
    </row>
    <row r="91" spans="1:16" ht="16.5" x14ac:dyDescent="0.3">
      <c r="A91" s="11"/>
      <c r="B91" s="6"/>
      <c r="C91" s="7"/>
      <c r="D91" s="7"/>
      <c r="E91" s="7"/>
      <c r="F91" s="7"/>
      <c r="G91" s="7"/>
      <c r="H91" s="7"/>
      <c r="I91" s="6"/>
      <c r="J91" s="6" t="str">
        <f>IF(A91="","",IF(E91&gt;0, B91/E91, 0))</f>
        <v/>
      </c>
      <c r="K91" s="9" t="str">
        <f>IF(A91="","",IF(C91&gt;0, E91/C91, 0))</f>
        <v/>
      </c>
      <c r="L91" s="6" t="str">
        <f>IF(A91="","",IF(H91&gt;0, B91/H91, 0))</f>
        <v/>
      </c>
      <c r="M91" s="10" t="str">
        <f>IF(A91="","",IF(B91&gt;0, I91/B91, 0))</f>
        <v/>
      </c>
      <c r="N91" s="9" t="str">
        <f>IF(A91="","",IF(F91&gt;0, G91/F91, 0))</f>
        <v/>
      </c>
      <c r="O91" s="9" t="str">
        <f>IF(A91="","",IF(G91&gt;0, H91/G91, 0))</f>
        <v/>
      </c>
      <c r="P91" s="8"/>
    </row>
    <row r="92" spans="1:16" ht="16.5" x14ac:dyDescent="0.3">
      <c r="A92" s="12"/>
      <c r="B92" s="6"/>
      <c r="C92" s="7"/>
      <c r="D92" s="7"/>
      <c r="E92" s="7"/>
      <c r="F92" s="7"/>
      <c r="G92" s="7"/>
      <c r="H92" s="7"/>
      <c r="I92" s="6"/>
      <c r="J92" s="6" t="str">
        <f>IF(A92="","",IF(E92&gt;0, B92/E92, 0))</f>
        <v/>
      </c>
      <c r="K92" s="9" t="str">
        <f>IF(A92="","",IF(C92&gt;0, E92/C92, 0))</f>
        <v/>
      </c>
      <c r="L92" s="6" t="str">
        <f>IF(A92="","",IF(H92&gt;0, B92/H92, 0))</f>
        <v/>
      </c>
      <c r="M92" s="10" t="str">
        <f>IF(A92="","",IF(B92&gt;0, I92/B92, 0))</f>
        <v/>
      </c>
      <c r="N92" s="9" t="str">
        <f>IF(A92="","",IF(F92&gt;0, G92/F92, 0))</f>
        <v/>
      </c>
      <c r="O92" s="9" t="str">
        <f>IF(A92="","",IF(G92&gt;0, H92/G92, 0))</f>
        <v/>
      </c>
      <c r="P92" s="8"/>
    </row>
    <row r="93" spans="1:16" ht="16.5" x14ac:dyDescent="0.3">
      <c r="A93" s="11"/>
      <c r="B93" s="6"/>
      <c r="C93" s="7"/>
      <c r="D93" s="7"/>
      <c r="E93" s="7"/>
      <c r="F93" s="7"/>
      <c r="G93" s="7"/>
      <c r="H93" s="7"/>
      <c r="I93" s="6"/>
      <c r="J93" s="6" t="str">
        <f>IF(A93="","",IF(E93&gt;0, B93/E93, 0))</f>
        <v/>
      </c>
      <c r="K93" s="9" t="str">
        <f>IF(A93="","",IF(C93&gt;0, E93/C93, 0))</f>
        <v/>
      </c>
      <c r="L93" s="6" t="str">
        <f>IF(A93="","",IF(H93&gt;0, B93/H93, 0))</f>
        <v/>
      </c>
      <c r="M93" s="10" t="str">
        <f>IF(A93="","",IF(B93&gt;0, I93/B93, 0))</f>
        <v/>
      </c>
      <c r="N93" s="9" t="str">
        <f>IF(A93="","",IF(F93&gt;0, G93/F93, 0))</f>
        <v/>
      </c>
      <c r="O93" s="9" t="str">
        <f>IF(A93="","",IF(G93&gt;0, H93/G93, 0))</f>
        <v/>
      </c>
      <c r="P93" s="8"/>
    </row>
    <row r="94" spans="1:16" ht="16.5" x14ac:dyDescent="0.3">
      <c r="A94" s="12"/>
      <c r="B94" s="6"/>
      <c r="C94" s="7"/>
      <c r="D94" s="7"/>
      <c r="E94" s="7"/>
      <c r="F94" s="7"/>
      <c r="G94" s="7"/>
      <c r="H94" s="7"/>
      <c r="I94" s="6"/>
      <c r="J94" s="6" t="str">
        <f>IF(A94="","",IF(E94&gt;0, B94/E94, 0))</f>
        <v/>
      </c>
      <c r="K94" s="9" t="str">
        <f>IF(A94="","",IF(C94&gt;0, E94/C94, 0))</f>
        <v/>
      </c>
      <c r="L94" s="6" t="str">
        <f>IF(A94="","",IF(H94&gt;0, B94/H94, 0))</f>
        <v/>
      </c>
      <c r="M94" s="10" t="str">
        <f>IF(A94="","",IF(B94&gt;0, I94/B94, 0))</f>
        <v/>
      </c>
      <c r="N94" s="9" t="str">
        <f>IF(A94="","",IF(F94&gt;0, G94/F94, 0))</f>
        <v/>
      </c>
      <c r="O94" s="9" t="str">
        <f>IF(A94="","",IF(G94&gt;0, H94/G94, 0))</f>
        <v/>
      </c>
      <c r="P94" s="8"/>
    </row>
    <row r="95" spans="1:16" ht="16.5" x14ac:dyDescent="0.3">
      <c r="A95" s="11"/>
      <c r="B95" s="6"/>
      <c r="C95" s="7"/>
      <c r="D95" s="7"/>
      <c r="E95" s="7"/>
      <c r="F95" s="7"/>
      <c r="G95" s="7"/>
      <c r="H95" s="7"/>
      <c r="I95" s="6"/>
      <c r="J95" s="6" t="str">
        <f>IF(A95="","",IF(E95&gt;0, B95/E95, 0))</f>
        <v/>
      </c>
      <c r="K95" s="9" t="str">
        <f>IF(A95="","",IF(C95&gt;0, E95/C95, 0))</f>
        <v/>
      </c>
      <c r="L95" s="6" t="str">
        <f>IF(A95="","",IF(H95&gt;0, B95/H95, 0))</f>
        <v/>
      </c>
      <c r="M95" s="10" t="str">
        <f>IF(A95="","",IF(B95&gt;0, I95/B95, 0))</f>
        <v/>
      </c>
      <c r="N95" s="9" t="str">
        <f>IF(A95="","",IF(F95&gt;0, G95/F95, 0))</f>
        <v/>
      </c>
      <c r="O95" s="9" t="str">
        <f>IF(A95="","",IF(G95&gt;0, H95/G95, 0))</f>
        <v/>
      </c>
      <c r="P95" s="8"/>
    </row>
    <row r="96" spans="1:16" ht="16.5" x14ac:dyDescent="0.3">
      <c r="A96" s="12"/>
      <c r="B96" s="6"/>
      <c r="C96" s="7"/>
      <c r="D96" s="7"/>
      <c r="E96" s="7"/>
      <c r="F96" s="7"/>
      <c r="G96" s="7"/>
      <c r="H96" s="7"/>
      <c r="I96" s="6"/>
      <c r="J96" s="6" t="str">
        <f>IF(A96="","",IF(E96&gt;0, B96/E96, 0))</f>
        <v/>
      </c>
      <c r="K96" s="9" t="str">
        <f>IF(A96="","",IF(C96&gt;0, E96/C96, 0))</f>
        <v/>
      </c>
      <c r="L96" s="6" t="str">
        <f>IF(A96="","",IF(H96&gt;0, B96/H96, 0))</f>
        <v/>
      </c>
      <c r="M96" s="10" t="str">
        <f>IF(A96="","",IF(B96&gt;0, I96/B96, 0))</f>
        <v/>
      </c>
      <c r="N96" s="9" t="str">
        <f>IF(A96="","",IF(F96&gt;0, G96/F96, 0))</f>
        <v/>
      </c>
      <c r="O96" s="9" t="str">
        <f>IF(A96="","",IF(G96&gt;0, H96/G96, 0))</f>
        <v/>
      </c>
      <c r="P96" s="8"/>
    </row>
    <row r="97" spans="1:16" ht="16.5" x14ac:dyDescent="0.3">
      <c r="A97" s="11"/>
      <c r="B97" s="6"/>
      <c r="C97" s="7"/>
      <c r="D97" s="7"/>
      <c r="E97" s="7"/>
      <c r="F97" s="7"/>
      <c r="G97" s="7"/>
      <c r="H97" s="7"/>
      <c r="I97" s="6"/>
      <c r="J97" s="6" t="str">
        <f>IF(A97="","",IF(E97&gt;0, B97/E97, 0))</f>
        <v/>
      </c>
      <c r="K97" s="9" t="str">
        <f>IF(A97="","",IF(C97&gt;0, E97/C97, 0))</f>
        <v/>
      </c>
      <c r="L97" s="6" t="str">
        <f>IF(A97="","",IF(H97&gt;0, B97/H97, 0))</f>
        <v/>
      </c>
      <c r="M97" s="10" t="str">
        <f>IF(A97="","",IF(B97&gt;0, I97/B97, 0))</f>
        <v/>
      </c>
      <c r="N97" s="9" t="str">
        <f>IF(A97="","",IF(F97&gt;0, G97/F97, 0))</f>
        <v/>
      </c>
      <c r="O97" s="9" t="str">
        <f>IF(A97="","",IF(G97&gt;0, H97/G97, 0))</f>
        <v/>
      </c>
      <c r="P97" s="8"/>
    </row>
    <row r="98" spans="1:16" ht="16.5" x14ac:dyDescent="0.3">
      <c r="A98" s="12"/>
      <c r="B98" s="6"/>
      <c r="C98" s="7"/>
      <c r="D98" s="7"/>
      <c r="E98" s="7"/>
      <c r="F98" s="7"/>
      <c r="G98" s="7"/>
      <c r="H98" s="7"/>
      <c r="I98" s="6"/>
      <c r="J98" s="6" t="str">
        <f>IF(A98="","",IF(E98&gt;0, B98/E98, 0))</f>
        <v/>
      </c>
      <c r="K98" s="9" t="str">
        <f>IF(A98="","",IF(C98&gt;0, E98/C98, 0))</f>
        <v/>
      </c>
      <c r="L98" s="6" t="str">
        <f>IF(A98="","",IF(H98&gt;0, B98/H98, 0))</f>
        <v/>
      </c>
      <c r="M98" s="10" t="str">
        <f>IF(A98="","",IF(B98&gt;0, I98/B98, 0))</f>
        <v/>
      </c>
      <c r="N98" s="9" t="str">
        <f>IF(A98="","",IF(F98&gt;0, G98/F98, 0))</f>
        <v/>
      </c>
      <c r="O98" s="9" t="str">
        <f>IF(A98="","",IF(G98&gt;0, H98/G98, 0))</f>
        <v/>
      </c>
      <c r="P98" s="8"/>
    </row>
    <row r="99" spans="1:16" ht="16.5" x14ac:dyDescent="0.3">
      <c r="A99" s="11"/>
      <c r="B99" s="6"/>
      <c r="C99" s="7"/>
      <c r="D99" s="7"/>
      <c r="E99" s="7"/>
      <c r="F99" s="7"/>
      <c r="G99" s="7"/>
      <c r="H99" s="7"/>
      <c r="I99" s="6"/>
      <c r="J99" s="6" t="str">
        <f>IF(A99="","",IF(E99&gt;0, B99/E99, 0))</f>
        <v/>
      </c>
      <c r="K99" s="9" t="str">
        <f>IF(A99="","",IF(C99&gt;0, E99/C99, 0))</f>
        <v/>
      </c>
      <c r="L99" s="6" t="str">
        <f>IF(A99="","",IF(H99&gt;0, B99/H99, 0))</f>
        <v/>
      </c>
      <c r="M99" s="10" t="str">
        <f>IF(A99="","",IF(B99&gt;0, I99/B99, 0))</f>
        <v/>
      </c>
      <c r="N99" s="9" t="str">
        <f>IF(A99="","",IF(F99&gt;0, G99/F99, 0))</f>
        <v/>
      </c>
      <c r="O99" s="9" t="str">
        <f>IF(A99="","",IF(G99&gt;0, H99/G99, 0))</f>
        <v/>
      </c>
      <c r="P99" s="8"/>
    </row>
    <row r="100" spans="1:16" ht="16.5" x14ac:dyDescent="0.3">
      <c r="A100" s="12"/>
      <c r="B100" s="6"/>
      <c r="C100" s="7"/>
      <c r="D100" s="7"/>
      <c r="E100" s="7"/>
      <c r="F100" s="7"/>
      <c r="G100" s="7"/>
      <c r="H100" s="7"/>
      <c r="I100" s="6"/>
      <c r="J100" s="6" t="str">
        <f>IF(A100="","",IF(E100&gt;0, B100/E100, 0))</f>
        <v/>
      </c>
      <c r="K100" s="9" t="str">
        <f>IF(A100="","",IF(C100&gt;0, E100/C100, 0))</f>
        <v/>
      </c>
      <c r="L100" s="6" t="str">
        <f>IF(A100="","",IF(H100&gt;0, B100/H100, 0))</f>
        <v/>
      </c>
      <c r="M100" s="10" t="str">
        <f>IF(A100="","",IF(B100&gt;0, I100/B100, 0))</f>
        <v/>
      </c>
      <c r="N100" s="9" t="str">
        <f>IF(A100="","",IF(F100&gt;0, G100/F100, 0))</f>
        <v/>
      </c>
      <c r="O100" s="9" t="str">
        <f>IF(A100="","",IF(G100&gt;0, H100/G100, 0))</f>
        <v/>
      </c>
      <c r="P100" s="8"/>
    </row>
  </sheetData>
  <autoFilter ref="A4:P4" xr:uid="{01F79DCC-5735-4AD2-904A-7B826455308A}"/>
  <mergeCells count="1">
    <mergeCell ref="A2:P2"/>
  </mergeCells>
  <conditionalFormatting sqref="M5:M100">
    <cfRule type="expression" dxfId="13" priority="1" stopIfTrue="1">
      <formula>M5&gt;=2</formula>
    </cfRule>
    <cfRule type="expression" dxfId="12" priority="2" stopIfTrue="1">
      <formula>AND(M5&gt;=1,M5&lt;2)</formula>
    </cfRule>
    <cfRule type="expression" dxfId="11" priority="3" stopIfTrue="1">
      <formula>AND(M5&gt;0,M5&lt;1)</formula>
    </cfRule>
  </conditionalFormatting>
  <conditionalFormatting sqref="L5:L100">
    <cfRule type="expression" dxfId="10" priority="4" stopIfTrue="1">
      <formula>AND(L5&gt;L4,Ã‰.NÃšMERO(L4))</formula>
    </cfRule>
    <cfRule type="expression" dxfId="9" priority="5" stopIfTrue="1">
      <formula>L5&gt;MÃ‰DIA(L$5:L$100)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9D5E6-23C7-41E7-A3B9-F2466BC6DCD1}">
  <dimension ref="A2:R100"/>
  <sheetViews>
    <sheetView workbookViewId="0">
      <pane ySplit="4" topLeftCell="A5" activePane="bottomLeft" state="frozenSplit"/>
      <selection pane="bottomLeft"/>
    </sheetView>
  </sheetViews>
  <sheetFormatPr defaultRowHeight="15" x14ac:dyDescent="0.25"/>
  <cols>
    <col min="1" max="1" width="25.7109375" customWidth="1"/>
    <col min="2" max="2" width="19.7109375" bestFit="1" customWidth="1"/>
    <col min="3" max="3" width="12.140625" bestFit="1" customWidth="1"/>
    <col min="4" max="4" width="21.140625" bestFit="1" customWidth="1"/>
    <col min="5" max="5" width="17.28515625" bestFit="1" customWidth="1"/>
    <col min="6" max="6" width="13" bestFit="1" customWidth="1"/>
    <col min="7" max="7" width="29.5703125" bestFit="1" customWidth="1"/>
    <col min="8" max="8" width="14.7109375" bestFit="1" customWidth="1"/>
    <col min="9" max="9" width="12.42578125" bestFit="1" customWidth="1"/>
    <col min="10" max="10" width="11.5703125" bestFit="1" customWidth="1"/>
    <col min="11" max="11" width="18.5703125" bestFit="1" customWidth="1"/>
    <col min="12" max="12" width="28.7109375" customWidth="1"/>
    <col min="13" max="13" width="13.7109375" style="23" bestFit="1" customWidth="1"/>
    <col min="15" max="15" width="13.85546875" bestFit="1" customWidth="1"/>
    <col min="16" max="16" width="29.42578125" bestFit="1" customWidth="1"/>
    <col min="17" max="17" width="7" bestFit="1" customWidth="1"/>
    <col min="18" max="18" width="12.42578125" bestFit="1" customWidth="1"/>
  </cols>
  <sheetData>
    <row r="2" spans="1:18" ht="35.1" customHeight="1" x14ac:dyDescent="0.25">
      <c r="A2" s="1" t="s">
        <v>49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8" ht="26.1" customHeight="1" x14ac:dyDescent="0.25">
      <c r="A4" s="4" t="s">
        <v>50</v>
      </c>
      <c r="B4" s="4" t="s">
        <v>51</v>
      </c>
      <c r="C4" s="4" t="s">
        <v>52</v>
      </c>
      <c r="D4" s="4" t="s">
        <v>2</v>
      </c>
      <c r="E4" s="4" t="s">
        <v>3</v>
      </c>
      <c r="F4" s="4" t="s">
        <v>53</v>
      </c>
      <c r="G4" s="4" t="s">
        <v>7</v>
      </c>
      <c r="H4" s="4" t="s">
        <v>8</v>
      </c>
      <c r="I4" s="4" t="s">
        <v>12</v>
      </c>
      <c r="J4" s="4" t="s">
        <v>13</v>
      </c>
      <c r="K4" s="4" t="s">
        <v>54</v>
      </c>
      <c r="L4" s="4" t="s">
        <v>16</v>
      </c>
      <c r="O4" s="25" t="s">
        <v>62</v>
      </c>
      <c r="P4" s="25"/>
      <c r="Q4" s="25"/>
      <c r="R4" s="25"/>
    </row>
    <row r="5" spans="1:18" ht="16.5" x14ac:dyDescent="0.3">
      <c r="A5" s="19" t="s">
        <v>43</v>
      </c>
      <c r="B5" s="5">
        <v>46301</v>
      </c>
      <c r="C5" s="17" t="s">
        <v>55</v>
      </c>
      <c r="D5" s="6">
        <v>300</v>
      </c>
      <c r="E5" s="7">
        <v>30000</v>
      </c>
      <c r="F5" s="7">
        <v>600</v>
      </c>
      <c r="G5" s="7">
        <v>60</v>
      </c>
      <c r="H5" s="7">
        <f>IF(A5="","",COUNTIFS('Registro de Vendas'!D$5:D$1000, A5))</f>
        <v>9</v>
      </c>
      <c r="I5" s="6">
        <f>IF(A5="","",IF(H5&gt;0, D5/H5, 0))</f>
        <v>33.333333333333336</v>
      </c>
      <c r="J5" s="10">
        <f>IF(A5="","",IF(D5&gt;0, SUMIFS('Registro de Vendas'!B$5:B$1000, 'Registro de Vendas'!D$5:D$1000, A5)/D5, 0))</f>
        <v>1.41</v>
      </c>
      <c r="K5" s="18" t="str">
        <f>IF(A5="","",IF(D5=0, "Sem dados", IF(J5&gt;=2, "Excelente", IF(J5&gt;=1.5, "Bom", IF(J5&gt;=1, "Regular", "Ruim")))))</f>
        <v>Regular</v>
      </c>
      <c r="L5" s="8" t="s">
        <v>56</v>
      </c>
      <c r="M5" s="24">
        <f>IF(A5="", 0, J5 + (1000-ROW())/1000000)</f>
        <v>1.410995</v>
      </c>
      <c r="O5" s="13" t="s">
        <v>63</v>
      </c>
      <c r="P5" s="13" t="s">
        <v>64</v>
      </c>
      <c r="Q5" s="13" t="s">
        <v>13</v>
      </c>
      <c r="R5" s="13" t="s">
        <v>12</v>
      </c>
    </row>
    <row r="6" spans="1:18" ht="16.5" x14ac:dyDescent="0.3">
      <c r="A6" s="20" t="s">
        <v>45</v>
      </c>
      <c r="B6" s="5">
        <v>46332</v>
      </c>
      <c r="C6" s="17" t="s">
        <v>55</v>
      </c>
      <c r="D6" s="6">
        <v>480</v>
      </c>
      <c r="E6" s="7">
        <v>48000</v>
      </c>
      <c r="F6" s="7">
        <v>1100</v>
      </c>
      <c r="G6" s="7">
        <v>95</v>
      </c>
      <c r="H6" s="7">
        <f>IF(A6="","",COUNTIFS('Registro de Vendas'!D$5:D$1000, A6))</f>
        <v>19</v>
      </c>
      <c r="I6" s="6">
        <f>IF(A6="","",IF(H6&gt;0, D6/H6, 0))</f>
        <v>25.263157894736842</v>
      </c>
      <c r="J6" s="10">
        <f>IF(A6="","",IF(D6&gt;0, SUMIFS('Registro de Vendas'!B$5:B$1000, 'Registro de Vendas'!D$5:D$1000, A6)/D6, 0))</f>
        <v>1.8604166666666666</v>
      </c>
      <c r="K6" s="18" t="str">
        <f>IF(A6="","",IF(D6=0, "Sem dados", IF(J6&gt;=2, "Excelente", IF(J6&gt;=1.5, "Bom", IF(J6&gt;=1, "Regular", "Ruim")))))</f>
        <v>Bom</v>
      </c>
      <c r="L6" s="8" t="s">
        <v>57</v>
      </c>
      <c r="M6" s="24">
        <f>IF(A6="", 0, J6 + (1000-ROW())/1000000)</f>
        <v>1.8614106666666665</v>
      </c>
      <c r="O6" s="19" t="str">
        <f>_xlfn.UNICHAR(127942) &amp; " Melhor"</f>
        <v>🏆 Melhor</v>
      </c>
      <c r="P6" s="19" t="str">
        <f>IFERROR(INDEX(A$5:A$100, MATCH(LARGE(M$5:M$100, 1), M$5:M$100, 0)), "-")</f>
        <v>Criativo B - Video Gancho 1</v>
      </c>
      <c r="Q6" s="26">
        <f>IFERROR(INDEX(J$5:J$100, MATCH(LARGE(M$5:M$100, 1), M$5:M$100, 0)), 0)</f>
        <v>1.8604166666666666</v>
      </c>
      <c r="R6" s="27">
        <f>IFERROR(INDEX(I$5:I$100, MATCH(LARGE(M$5:M$100, 1), M$5:M$100, 0)), 0)</f>
        <v>25.263157894736842</v>
      </c>
    </row>
    <row r="7" spans="1:18" ht="16.5" x14ac:dyDescent="0.3">
      <c r="A7" s="19" t="s">
        <v>46</v>
      </c>
      <c r="B7" s="5">
        <v>46362</v>
      </c>
      <c r="C7" s="17" t="s">
        <v>55</v>
      </c>
      <c r="D7" s="6">
        <v>160</v>
      </c>
      <c r="E7" s="7">
        <v>15000</v>
      </c>
      <c r="F7" s="7">
        <v>280</v>
      </c>
      <c r="G7" s="7">
        <v>28</v>
      </c>
      <c r="H7" s="7">
        <f>IF(A7="","",COUNTIFS('Registro de Vendas'!D$5:D$1000, A7))</f>
        <v>4</v>
      </c>
      <c r="I7" s="6">
        <f>IF(A7="","",IF(H7&gt;0, D7/H7, 0))</f>
        <v>40</v>
      </c>
      <c r="J7" s="10">
        <f>IF(A7="","",IF(D7&gt;0, SUMIFS('Registro de Vendas'!B$5:B$1000, 'Registro de Vendas'!D$5:D$1000, A7)/D7, 0))</f>
        <v>1.175</v>
      </c>
      <c r="K7" s="18" t="str">
        <f>IF(A7="","",IF(D7=0, "Sem dados", IF(J7&gt;=2, "Excelente", IF(J7&gt;=1.5, "Bom", IF(J7&gt;=1, "Regular", "Ruim")))))</f>
        <v>Regular</v>
      </c>
      <c r="L7" s="8" t="s">
        <v>58</v>
      </c>
      <c r="M7" s="24">
        <f>IF(A7="", 0, J7 + (1000-ROW())/1000000)</f>
        <v>1.1759930000000001</v>
      </c>
      <c r="O7" s="19" t="str">
        <f>_xlfn.UNICHAR(129352) &amp; " Segundo"</f>
        <v>🥈 Segundo</v>
      </c>
      <c r="P7" s="19" t="str">
        <f>IFERROR(INDEX(A$5:A$100, MATCH(LARGE(M$5:M$100, 2), M$5:M$100, 0)), "-")</f>
        <v>Criativo A - Imagem Oferta</v>
      </c>
      <c r="Q7" s="26">
        <f>IFERROR(INDEX(J$5:J$100, MATCH(LARGE(M$5:M$100, 2), M$5:M$100, 0)), 0)</f>
        <v>1.41</v>
      </c>
      <c r="R7" s="27">
        <f>IFERROR(INDEX(I$5:I$100, MATCH(LARGE(M$5:M$100, 2), M$5:M$100, 0)), 0)</f>
        <v>33.333333333333336</v>
      </c>
    </row>
    <row r="8" spans="1:18" ht="16.5" x14ac:dyDescent="0.3">
      <c r="A8" s="20" t="s">
        <v>47</v>
      </c>
      <c r="B8" s="5" t="s">
        <v>20</v>
      </c>
      <c r="C8" s="17" t="s">
        <v>59</v>
      </c>
      <c r="D8" s="6">
        <v>80</v>
      </c>
      <c r="E8" s="7">
        <v>8000</v>
      </c>
      <c r="F8" s="7">
        <v>120</v>
      </c>
      <c r="G8" s="7">
        <v>12</v>
      </c>
      <c r="H8" s="7">
        <f>IF(A8="","",COUNTIFS('Registro de Vendas'!D$5:D$1000, A8))</f>
        <v>1</v>
      </c>
      <c r="I8" s="6">
        <f>IF(A8="","",IF(H8&gt;0, D8/H8, 0))</f>
        <v>80</v>
      </c>
      <c r="J8" s="10">
        <f>IF(A8="","",IF(D8&gt;0, SUMIFS('Registro de Vendas'!B$5:B$1000, 'Registro de Vendas'!D$5:D$1000, A8)/D8, 0))</f>
        <v>0.58750000000000002</v>
      </c>
      <c r="K8" s="18" t="str">
        <f>IF(A8="","",IF(D8=0, "Sem dados", IF(J8&gt;=2, "Excelente", IF(J8&gt;=1.5, "Bom", IF(J8&gt;=1, "Regular", "Ruim")))))</f>
        <v>Ruim</v>
      </c>
      <c r="L8" s="8" t="s">
        <v>60</v>
      </c>
      <c r="M8" s="24">
        <f>IF(A8="", 0, J8 + (1000-ROW())/1000000)</f>
        <v>0.58849200000000002</v>
      </c>
      <c r="O8" s="19" t="str">
        <f>_xlfn.UNICHAR(129353) &amp; " Terceiro"</f>
        <v>🥉 Terceiro</v>
      </c>
      <c r="P8" s="19" t="str">
        <f>IFERROR(INDEX(A$5:A$100, MATCH(LARGE(M$5:M$100, 3), M$5:M$100, 0)), "-")</f>
        <v>Criativo C - Video Unboxing</v>
      </c>
      <c r="Q8" s="26">
        <f>IFERROR(INDEX(J$5:J$100, MATCH(LARGE(M$5:M$100, 3), M$5:M$100, 0)), 0)</f>
        <v>1.175</v>
      </c>
      <c r="R8" s="27">
        <f>IFERROR(INDEX(I$5:I$100, MATCH(LARGE(M$5:M$100, 3), M$5:M$100, 0)), 0)</f>
        <v>40</v>
      </c>
    </row>
    <row r="9" spans="1:18" ht="16.5" x14ac:dyDescent="0.3">
      <c r="A9" s="19" t="s">
        <v>48</v>
      </c>
      <c r="B9" s="5" t="s">
        <v>22</v>
      </c>
      <c r="C9" s="17" t="s">
        <v>55</v>
      </c>
      <c r="D9" s="6">
        <v>240</v>
      </c>
      <c r="E9" s="7">
        <v>22000</v>
      </c>
      <c r="F9" s="7">
        <v>480</v>
      </c>
      <c r="G9" s="7">
        <v>40</v>
      </c>
      <c r="H9" s="7">
        <f>IF(A9="","",COUNTIFS('Registro de Vendas'!D$5:D$1000, A9))</f>
        <v>6</v>
      </c>
      <c r="I9" s="6">
        <f>IF(A9="","",IF(H9&gt;0, D9/H9, 0))</f>
        <v>40</v>
      </c>
      <c r="J9" s="10">
        <f>IF(A9="","",IF(D9&gt;0, SUMIFS('Registro de Vendas'!B$5:B$1000, 'Registro de Vendas'!D$5:D$1000, A9)/D9, 0))</f>
        <v>1.175</v>
      </c>
      <c r="K9" s="18" t="str">
        <f>IF(A9="","",IF(D9=0, "Sem dados", IF(J9&gt;=2, "Excelente", IF(J9&gt;=1.5, "Bom", IF(J9&gt;=1, "Regular", "Ruim")))))</f>
        <v>Regular</v>
      </c>
      <c r="L9" s="8" t="s">
        <v>61</v>
      </c>
      <c r="M9" s="24">
        <f>IF(A9="", 0, J9 + (1000-ROW())/1000000)</f>
        <v>1.175991</v>
      </c>
    </row>
    <row r="10" spans="1:18" ht="16.5" x14ac:dyDescent="0.3">
      <c r="A10" s="21"/>
      <c r="B10" s="5"/>
      <c r="C10" s="17"/>
      <c r="D10" s="6"/>
      <c r="E10" s="7"/>
      <c r="F10" s="7"/>
      <c r="G10" s="7"/>
      <c r="H10" s="7" t="str">
        <f>IF(A10="","",COUNTIFS('Registro de Vendas'!D$5:D$1000, A10))</f>
        <v/>
      </c>
      <c r="I10" s="6" t="str">
        <f>IF(A10="","",IF(H10&gt;0, D10/H10, 0))</f>
        <v/>
      </c>
      <c r="J10" s="10" t="str">
        <f>IF(A10="","",IF(D10&gt;0, SUMIFS('Registro de Vendas'!B$5:B$1000, 'Registro de Vendas'!D$5:D$1000, A10)/D10, 0))</f>
        <v/>
      </c>
      <c r="K10" s="18" t="str">
        <f>IF(A10="","",IF(D10=0, "Sem dados", IF(J10&gt;=2, "Excelente", IF(J10&gt;=1.5, "Bom", IF(J10&gt;=1, "Regular", "Ruim")))))</f>
        <v/>
      </c>
      <c r="L10" s="8"/>
      <c r="M10" s="24">
        <f>IF(A10="", 0, J10 + (1000-ROW())/1000000)</f>
        <v>0</v>
      </c>
    </row>
    <row r="11" spans="1:18" ht="16.5" x14ac:dyDescent="0.3">
      <c r="A11" s="22"/>
      <c r="B11" s="5"/>
      <c r="C11" s="17"/>
      <c r="D11" s="6"/>
      <c r="E11" s="7"/>
      <c r="F11" s="7"/>
      <c r="G11" s="7"/>
      <c r="H11" s="7" t="str">
        <f>IF(A11="","",COUNTIFS('Registro de Vendas'!D$5:D$1000, A11))</f>
        <v/>
      </c>
      <c r="I11" s="6" t="str">
        <f>IF(A11="","",IF(H11&gt;0, D11/H11, 0))</f>
        <v/>
      </c>
      <c r="J11" s="10" t="str">
        <f>IF(A11="","",IF(D11&gt;0, SUMIFS('Registro de Vendas'!B$5:B$1000, 'Registro de Vendas'!D$5:D$1000, A11)/D11, 0))</f>
        <v/>
      </c>
      <c r="K11" s="18" t="str">
        <f>IF(A11="","",IF(D11=0, "Sem dados", IF(J11&gt;=2, "Excelente", IF(J11&gt;=1.5, "Bom", IF(J11&gt;=1, "Regular", "Ruim")))))</f>
        <v/>
      </c>
      <c r="L11" s="8"/>
      <c r="M11" s="24">
        <f>IF(A11="", 0, J11 + (1000-ROW())/1000000)</f>
        <v>0</v>
      </c>
    </row>
    <row r="12" spans="1:18" ht="16.5" x14ac:dyDescent="0.3">
      <c r="A12" s="21"/>
      <c r="B12" s="5"/>
      <c r="C12" s="17"/>
      <c r="D12" s="6"/>
      <c r="E12" s="7"/>
      <c r="F12" s="7"/>
      <c r="G12" s="7"/>
      <c r="H12" s="7" t="str">
        <f>IF(A12="","",COUNTIFS('Registro de Vendas'!D$5:D$1000, A12))</f>
        <v/>
      </c>
      <c r="I12" s="6" t="str">
        <f>IF(A12="","",IF(H12&gt;0, D12/H12, 0))</f>
        <v/>
      </c>
      <c r="J12" s="10" t="str">
        <f>IF(A12="","",IF(D12&gt;0, SUMIFS('Registro de Vendas'!B$5:B$1000, 'Registro de Vendas'!D$5:D$1000, A12)/D12, 0))</f>
        <v/>
      </c>
      <c r="K12" s="18" t="str">
        <f>IF(A12="","",IF(D12=0, "Sem dados", IF(J12&gt;=2, "Excelente", IF(J12&gt;=1.5, "Bom", IF(J12&gt;=1, "Regular", "Ruim")))))</f>
        <v/>
      </c>
      <c r="L12" s="8"/>
      <c r="M12" s="24">
        <f>IF(A12="", 0, J12 + (1000-ROW())/1000000)</f>
        <v>0</v>
      </c>
    </row>
    <row r="13" spans="1:18" ht="16.5" x14ac:dyDescent="0.3">
      <c r="A13" s="22"/>
      <c r="B13" s="5"/>
      <c r="C13" s="17"/>
      <c r="D13" s="6"/>
      <c r="E13" s="7"/>
      <c r="F13" s="7"/>
      <c r="G13" s="7"/>
      <c r="H13" s="7" t="str">
        <f>IF(A13="","",COUNTIFS('Registro de Vendas'!D$5:D$1000, A13))</f>
        <v/>
      </c>
      <c r="I13" s="6" t="str">
        <f>IF(A13="","",IF(H13&gt;0, D13/H13, 0))</f>
        <v/>
      </c>
      <c r="J13" s="10" t="str">
        <f>IF(A13="","",IF(D13&gt;0, SUMIFS('Registro de Vendas'!B$5:B$1000, 'Registro de Vendas'!D$5:D$1000, A13)/D13, 0))</f>
        <v/>
      </c>
      <c r="K13" s="18" t="str">
        <f>IF(A13="","",IF(D13=0, "Sem dados", IF(J13&gt;=2, "Excelente", IF(J13&gt;=1.5, "Bom", IF(J13&gt;=1, "Regular", "Ruim")))))</f>
        <v/>
      </c>
      <c r="L13" s="8"/>
      <c r="M13" s="24">
        <f>IF(A13="", 0, J13 + (1000-ROW())/1000000)</f>
        <v>0</v>
      </c>
    </row>
    <row r="14" spans="1:18" ht="16.5" x14ac:dyDescent="0.3">
      <c r="A14" s="21"/>
      <c r="B14" s="5"/>
      <c r="C14" s="17"/>
      <c r="D14" s="6"/>
      <c r="E14" s="7"/>
      <c r="F14" s="7"/>
      <c r="G14" s="7"/>
      <c r="H14" s="7" t="str">
        <f>IF(A14="","",COUNTIFS('Registro de Vendas'!D$5:D$1000, A14))</f>
        <v/>
      </c>
      <c r="I14" s="6" t="str">
        <f>IF(A14="","",IF(H14&gt;0, D14/H14, 0))</f>
        <v/>
      </c>
      <c r="J14" s="10" t="str">
        <f>IF(A14="","",IF(D14&gt;0, SUMIFS('Registro de Vendas'!B$5:B$1000, 'Registro de Vendas'!D$5:D$1000, A14)/D14, 0))</f>
        <v/>
      </c>
      <c r="K14" s="18" t="str">
        <f>IF(A14="","",IF(D14=0, "Sem dados", IF(J14&gt;=2, "Excelente", IF(J14&gt;=1.5, "Bom", IF(J14&gt;=1, "Regular", "Ruim")))))</f>
        <v/>
      </c>
      <c r="L14" s="8"/>
      <c r="M14" s="24">
        <f>IF(A14="", 0, J14 + (1000-ROW())/1000000)</f>
        <v>0</v>
      </c>
    </row>
    <row r="15" spans="1:18" ht="16.5" x14ac:dyDescent="0.3">
      <c r="A15" s="22"/>
      <c r="B15" s="5"/>
      <c r="C15" s="17"/>
      <c r="D15" s="6"/>
      <c r="E15" s="7"/>
      <c r="F15" s="7"/>
      <c r="G15" s="7"/>
      <c r="H15" s="7" t="str">
        <f>IF(A15="","",COUNTIFS('Registro de Vendas'!D$5:D$1000, A15))</f>
        <v/>
      </c>
      <c r="I15" s="6" t="str">
        <f>IF(A15="","",IF(H15&gt;0, D15/H15, 0))</f>
        <v/>
      </c>
      <c r="J15" s="10" t="str">
        <f>IF(A15="","",IF(D15&gt;0, SUMIFS('Registro de Vendas'!B$5:B$1000, 'Registro de Vendas'!D$5:D$1000, A15)/D15, 0))</f>
        <v/>
      </c>
      <c r="K15" s="18" t="str">
        <f>IF(A15="","",IF(D15=0, "Sem dados", IF(J15&gt;=2, "Excelente", IF(J15&gt;=1.5, "Bom", IF(J15&gt;=1, "Regular", "Ruim")))))</f>
        <v/>
      </c>
      <c r="L15" s="8"/>
      <c r="M15" s="24">
        <f>IF(A15="", 0, J15 + (1000-ROW())/1000000)</f>
        <v>0</v>
      </c>
    </row>
    <row r="16" spans="1:18" ht="16.5" x14ac:dyDescent="0.3">
      <c r="A16" s="21"/>
      <c r="B16" s="5"/>
      <c r="C16" s="17"/>
      <c r="D16" s="6"/>
      <c r="E16" s="7"/>
      <c r="F16" s="7"/>
      <c r="G16" s="7"/>
      <c r="H16" s="7" t="str">
        <f>IF(A16="","",COUNTIFS('Registro de Vendas'!D$5:D$1000, A16))</f>
        <v/>
      </c>
      <c r="I16" s="6" t="str">
        <f>IF(A16="","",IF(H16&gt;0, D16/H16, 0))</f>
        <v/>
      </c>
      <c r="J16" s="10" t="str">
        <f>IF(A16="","",IF(D16&gt;0, SUMIFS('Registro de Vendas'!B$5:B$1000, 'Registro de Vendas'!D$5:D$1000, A16)/D16, 0))</f>
        <v/>
      </c>
      <c r="K16" s="18" t="str">
        <f>IF(A16="","",IF(D16=0, "Sem dados", IF(J16&gt;=2, "Excelente", IF(J16&gt;=1.5, "Bom", IF(J16&gt;=1, "Regular", "Ruim")))))</f>
        <v/>
      </c>
      <c r="L16" s="8"/>
      <c r="M16" s="24">
        <f>IF(A16="", 0, J16 + (1000-ROW())/1000000)</f>
        <v>0</v>
      </c>
    </row>
    <row r="17" spans="1:13" ht="16.5" x14ac:dyDescent="0.3">
      <c r="A17" s="22"/>
      <c r="B17" s="5"/>
      <c r="C17" s="17"/>
      <c r="D17" s="6"/>
      <c r="E17" s="7"/>
      <c r="F17" s="7"/>
      <c r="G17" s="7"/>
      <c r="H17" s="7" t="str">
        <f>IF(A17="","",COUNTIFS('Registro de Vendas'!D$5:D$1000, A17))</f>
        <v/>
      </c>
      <c r="I17" s="6" t="str">
        <f>IF(A17="","",IF(H17&gt;0, D17/H17, 0))</f>
        <v/>
      </c>
      <c r="J17" s="10" t="str">
        <f>IF(A17="","",IF(D17&gt;0, SUMIFS('Registro de Vendas'!B$5:B$1000, 'Registro de Vendas'!D$5:D$1000, A17)/D17, 0))</f>
        <v/>
      </c>
      <c r="K17" s="18" t="str">
        <f>IF(A17="","",IF(D17=0, "Sem dados", IF(J17&gt;=2, "Excelente", IF(J17&gt;=1.5, "Bom", IF(J17&gt;=1, "Regular", "Ruim")))))</f>
        <v/>
      </c>
      <c r="L17" s="8"/>
      <c r="M17" s="24">
        <f>IF(A17="", 0, J17 + (1000-ROW())/1000000)</f>
        <v>0</v>
      </c>
    </row>
    <row r="18" spans="1:13" ht="16.5" x14ac:dyDescent="0.3">
      <c r="A18" s="21"/>
      <c r="B18" s="5"/>
      <c r="C18" s="17"/>
      <c r="D18" s="6"/>
      <c r="E18" s="7"/>
      <c r="F18" s="7"/>
      <c r="G18" s="7"/>
      <c r="H18" s="7" t="str">
        <f>IF(A18="","",COUNTIFS('Registro de Vendas'!D$5:D$1000, A18))</f>
        <v/>
      </c>
      <c r="I18" s="6" t="str">
        <f>IF(A18="","",IF(H18&gt;0, D18/H18, 0))</f>
        <v/>
      </c>
      <c r="J18" s="10" t="str">
        <f>IF(A18="","",IF(D18&gt;0, SUMIFS('Registro de Vendas'!B$5:B$1000, 'Registro de Vendas'!D$5:D$1000, A18)/D18, 0))</f>
        <v/>
      </c>
      <c r="K18" s="18" t="str">
        <f>IF(A18="","",IF(D18=0, "Sem dados", IF(J18&gt;=2, "Excelente", IF(J18&gt;=1.5, "Bom", IF(J18&gt;=1, "Regular", "Ruim")))))</f>
        <v/>
      </c>
      <c r="L18" s="8"/>
      <c r="M18" s="24">
        <f>IF(A18="", 0, J18 + (1000-ROW())/1000000)</f>
        <v>0</v>
      </c>
    </row>
    <row r="19" spans="1:13" ht="16.5" x14ac:dyDescent="0.3">
      <c r="A19" s="22"/>
      <c r="B19" s="5"/>
      <c r="C19" s="17"/>
      <c r="D19" s="6"/>
      <c r="E19" s="7"/>
      <c r="F19" s="7"/>
      <c r="G19" s="7"/>
      <c r="H19" s="7" t="str">
        <f>IF(A19="","",COUNTIFS('Registro de Vendas'!D$5:D$1000, A19))</f>
        <v/>
      </c>
      <c r="I19" s="6" t="str">
        <f>IF(A19="","",IF(H19&gt;0, D19/H19, 0))</f>
        <v/>
      </c>
      <c r="J19" s="10" t="str">
        <f>IF(A19="","",IF(D19&gt;0, SUMIFS('Registro de Vendas'!B$5:B$1000, 'Registro de Vendas'!D$5:D$1000, A19)/D19, 0))</f>
        <v/>
      </c>
      <c r="K19" s="18" t="str">
        <f>IF(A19="","",IF(D19=0, "Sem dados", IF(J19&gt;=2, "Excelente", IF(J19&gt;=1.5, "Bom", IF(J19&gt;=1, "Regular", "Ruim")))))</f>
        <v/>
      </c>
      <c r="L19" s="8"/>
      <c r="M19" s="24">
        <f>IF(A19="", 0, J19 + (1000-ROW())/1000000)</f>
        <v>0</v>
      </c>
    </row>
    <row r="20" spans="1:13" ht="16.5" x14ac:dyDescent="0.3">
      <c r="A20" s="21"/>
      <c r="B20" s="5"/>
      <c r="C20" s="17"/>
      <c r="D20" s="6"/>
      <c r="E20" s="7"/>
      <c r="F20" s="7"/>
      <c r="G20" s="7"/>
      <c r="H20" s="7" t="str">
        <f>IF(A20="","",COUNTIFS('Registro de Vendas'!D$5:D$1000, A20))</f>
        <v/>
      </c>
      <c r="I20" s="6" t="str">
        <f>IF(A20="","",IF(H20&gt;0, D20/H20, 0))</f>
        <v/>
      </c>
      <c r="J20" s="10" t="str">
        <f>IF(A20="","",IF(D20&gt;0, SUMIFS('Registro de Vendas'!B$5:B$1000, 'Registro de Vendas'!D$5:D$1000, A20)/D20, 0))</f>
        <v/>
      </c>
      <c r="K20" s="18" t="str">
        <f>IF(A20="","",IF(D20=0, "Sem dados", IF(J20&gt;=2, "Excelente", IF(J20&gt;=1.5, "Bom", IF(J20&gt;=1, "Regular", "Ruim")))))</f>
        <v/>
      </c>
      <c r="L20" s="8"/>
      <c r="M20" s="24">
        <f>IF(A20="", 0, J20 + (1000-ROW())/1000000)</f>
        <v>0</v>
      </c>
    </row>
    <row r="21" spans="1:13" ht="16.5" x14ac:dyDescent="0.3">
      <c r="A21" s="22"/>
      <c r="B21" s="5"/>
      <c r="C21" s="17"/>
      <c r="D21" s="6"/>
      <c r="E21" s="7"/>
      <c r="F21" s="7"/>
      <c r="G21" s="7"/>
      <c r="H21" s="7" t="str">
        <f>IF(A21="","",COUNTIFS('Registro de Vendas'!D$5:D$1000, A21))</f>
        <v/>
      </c>
      <c r="I21" s="6" t="str">
        <f>IF(A21="","",IF(H21&gt;0, D21/H21, 0))</f>
        <v/>
      </c>
      <c r="J21" s="10" t="str">
        <f>IF(A21="","",IF(D21&gt;0, SUMIFS('Registro de Vendas'!B$5:B$1000, 'Registro de Vendas'!D$5:D$1000, A21)/D21, 0))</f>
        <v/>
      </c>
      <c r="K21" s="18" t="str">
        <f>IF(A21="","",IF(D21=0, "Sem dados", IF(J21&gt;=2, "Excelente", IF(J21&gt;=1.5, "Bom", IF(J21&gt;=1, "Regular", "Ruim")))))</f>
        <v/>
      </c>
      <c r="L21" s="8"/>
      <c r="M21" s="24">
        <f>IF(A21="", 0, J21 + (1000-ROW())/1000000)</f>
        <v>0</v>
      </c>
    </row>
    <row r="22" spans="1:13" ht="16.5" x14ac:dyDescent="0.3">
      <c r="A22" s="21"/>
      <c r="B22" s="5"/>
      <c r="C22" s="17"/>
      <c r="D22" s="6"/>
      <c r="E22" s="7"/>
      <c r="F22" s="7"/>
      <c r="G22" s="7"/>
      <c r="H22" s="7" t="str">
        <f>IF(A22="","",COUNTIFS('Registro de Vendas'!D$5:D$1000, A22))</f>
        <v/>
      </c>
      <c r="I22" s="6" t="str">
        <f>IF(A22="","",IF(H22&gt;0, D22/H22, 0))</f>
        <v/>
      </c>
      <c r="J22" s="10" t="str">
        <f>IF(A22="","",IF(D22&gt;0, SUMIFS('Registro de Vendas'!B$5:B$1000, 'Registro de Vendas'!D$5:D$1000, A22)/D22, 0))</f>
        <v/>
      </c>
      <c r="K22" s="18" t="str">
        <f>IF(A22="","",IF(D22=0, "Sem dados", IF(J22&gt;=2, "Excelente", IF(J22&gt;=1.5, "Bom", IF(J22&gt;=1, "Regular", "Ruim")))))</f>
        <v/>
      </c>
      <c r="L22" s="8"/>
      <c r="M22" s="24">
        <f>IF(A22="", 0, J22 + (1000-ROW())/1000000)</f>
        <v>0</v>
      </c>
    </row>
    <row r="23" spans="1:13" ht="16.5" x14ac:dyDescent="0.3">
      <c r="A23" s="22"/>
      <c r="B23" s="5"/>
      <c r="C23" s="17"/>
      <c r="D23" s="6"/>
      <c r="E23" s="7"/>
      <c r="F23" s="7"/>
      <c r="G23" s="7"/>
      <c r="H23" s="7" t="str">
        <f>IF(A23="","",COUNTIFS('Registro de Vendas'!D$5:D$1000, A23))</f>
        <v/>
      </c>
      <c r="I23" s="6" t="str">
        <f>IF(A23="","",IF(H23&gt;0, D23/H23, 0))</f>
        <v/>
      </c>
      <c r="J23" s="10" t="str">
        <f>IF(A23="","",IF(D23&gt;0, SUMIFS('Registro de Vendas'!B$5:B$1000, 'Registro de Vendas'!D$5:D$1000, A23)/D23, 0))</f>
        <v/>
      </c>
      <c r="K23" s="18" t="str">
        <f>IF(A23="","",IF(D23=0, "Sem dados", IF(J23&gt;=2, "Excelente", IF(J23&gt;=1.5, "Bom", IF(J23&gt;=1, "Regular", "Ruim")))))</f>
        <v/>
      </c>
      <c r="L23" s="8"/>
      <c r="M23" s="24">
        <f>IF(A23="", 0, J23 + (1000-ROW())/1000000)</f>
        <v>0</v>
      </c>
    </row>
    <row r="24" spans="1:13" ht="16.5" x14ac:dyDescent="0.3">
      <c r="A24" s="21"/>
      <c r="B24" s="5"/>
      <c r="C24" s="17"/>
      <c r="D24" s="6"/>
      <c r="E24" s="7"/>
      <c r="F24" s="7"/>
      <c r="G24" s="7"/>
      <c r="H24" s="7" t="str">
        <f>IF(A24="","",COUNTIFS('Registro de Vendas'!D$5:D$1000, A24))</f>
        <v/>
      </c>
      <c r="I24" s="6" t="str">
        <f>IF(A24="","",IF(H24&gt;0, D24/H24, 0))</f>
        <v/>
      </c>
      <c r="J24" s="10" t="str">
        <f>IF(A24="","",IF(D24&gt;0, SUMIFS('Registro de Vendas'!B$5:B$1000, 'Registro de Vendas'!D$5:D$1000, A24)/D24, 0))</f>
        <v/>
      </c>
      <c r="K24" s="18" t="str">
        <f>IF(A24="","",IF(D24=0, "Sem dados", IF(J24&gt;=2, "Excelente", IF(J24&gt;=1.5, "Bom", IF(J24&gt;=1, "Regular", "Ruim")))))</f>
        <v/>
      </c>
      <c r="L24" s="8"/>
      <c r="M24" s="24">
        <f>IF(A24="", 0, J24 + (1000-ROW())/1000000)</f>
        <v>0</v>
      </c>
    </row>
    <row r="25" spans="1:13" ht="16.5" x14ac:dyDescent="0.3">
      <c r="A25" s="22"/>
      <c r="B25" s="5"/>
      <c r="C25" s="17"/>
      <c r="D25" s="6"/>
      <c r="E25" s="7"/>
      <c r="F25" s="7"/>
      <c r="G25" s="7"/>
      <c r="H25" s="7" t="str">
        <f>IF(A25="","",COUNTIFS('Registro de Vendas'!D$5:D$1000, A25))</f>
        <v/>
      </c>
      <c r="I25" s="6" t="str">
        <f>IF(A25="","",IF(H25&gt;0, D25/H25, 0))</f>
        <v/>
      </c>
      <c r="J25" s="10" t="str">
        <f>IF(A25="","",IF(D25&gt;0, SUMIFS('Registro de Vendas'!B$5:B$1000, 'Registro de Vendas'!D$5:D$1000, A25)/D25, 0))</f>
        <v/>
      </c>
      <c r="K25" s="18" t="str">
        <f>IF(A25="","",IF(D25=0, "Sem dados", IF(J25&gt;=2, "Excelente", IF(J25&gt;=1.5, "Bom", IF(J25&gt;=1, "Regular", "Ruim")))))</f>
        <v/>
      </c>
      <c r="L25" s="8"/>
      <c r="M25" s="24">
        <f>IF(A25="", 0, J25 + (1000-ROW())/1000000)</f>
        <v>0</v>
      </c>
    </row>
    <row r="26" spans="1:13" ht="16.5" x14ac:dyDescent="0.3">
      <c r="A26" s="21"/>
      <c r="B26" s="5"/>
      <c r="C26" s="17"/>
      <c r="D26" s="6"/>
      <c r="E26" s="7"/>
      <c r="F26" s="7"/>
      <c r="G26" s="7"/>
      <c r="H26" s="7" t="str">
        <f>IF(A26="","",COUNTIFS('Registro de Vendas'!D$5:D$1000, A26))</f>
        <v/>
      </c>
      <c r="I26" s="6" t="str">
        <f>IF(A26="","",IF(H26&gt;0, D26/H26, 0))</f>
        <v/>
      </c>
      <c r="J26" s="10" t="str">
        <f>IF(A26="","",IF(D26&gt;0, SUMIFS('Registro de Vendas'!B$5:B$1000, 'Registro de Vendas'!D$5:D$1000, A26)/D26, 0))</f>
        <v/>
      </c>
      <c r="K26" s="18" t="str">
        <f>IF(A26="","",IF(D26=0, "Sem dados", IF(J26&gt;=2, "Excelente", IF(J26&gt;=1.5, "Bom", IF(J26&gt;=1, "Regular", "Ruim")))))</f>
        <v/>
      </c>
      <c r="L26" s="8"/>
      <c r="M26" s="24">
        <f>IF(A26="", 0, J26 + (1000-ROW())/1000000)</f>
        <v>0</v>
      </c>
    </row>
    <row r="27" spans="1:13" ht="16.5" x14ac:dyDescent="0.3">
      <c r="A27" s="22"/>
      <c r="B27" s="5"/>
      <c r="C27" s="17"/>
      <c r="D27" s="6"/>
      <c r="E27" s="7"/>
      <c r="F27" s="7"/>
      <c r="G27" s="7"/>
      <c r="H27" s="7" t="str">
        <f>IF(A27="","",COUNTIFS('Registro de Vendas'!D$5:D$1000, A27))</f>
        <v/>
      </c>
      <c r="I27" s="6" t="str">
        <f>IF(A27="","",IF(H27&gt;0, D27/H27, 0))</f>
        <v/>
      </c>
      <c r="J27" s="10" t="str">
        <f>IF(A27="","",IF(D27&gt;0, SUMIFS('Registro de Vendas'!B$5:B$1000, 'Registro de Vendas'!D$5:D$1000, A27)/D27, 0))</f>
        <v/>
      </c>
      <c r="K27" s="18" t="str">
        <f>IF(A27="","",IF(D27=0, "Sem dados", IF(J27&gt;=2, "Excelente", IF(J27&gt;=1.5, "Bom", IF(J27&gt;=1, "Regular", "Ruim")))))</f>
        <v/>
      </c>
      <c r="L27" s="8"/>
      <c r="M27" s="24">
        <f>IF(A27="", 0, J27 + (1000-ROW())/1000000)</f>
        <v>0</v>
      </c>
    </row>
    <row r="28" spans="1:13" ht="16.5" x14ac:dyDescent="0.3">
      <c r="A28" s="21"/>
      <c r="B28" s="5"/>
      <c r="C28" s="17"/>
      <c r="D28" s="6"/>
      <c r="E28" s="7"/>
      <c r="F28" s="7"/>
      <c r="G28" s="7"/>
      <c r="H28" s="7" t="str">
        <f>IF(A28="","",COUNTIFS('Registro de Vendas'!D$5:D$1000, A28))</f>
        <v/>
      </c>
      <c r="I28" s="6" t="str">
        <f>IF(A28="","",IF(H28&gt;0, D28/H28, 0))</f>
        <v/>
      </c>
      <c r="J28" s="10" t="str">
        <f>IF(A28="","",IF(D28&gt;0, SUMIFS('Registro de Vendas'!B$5:B$1000, 'Registro de Vendas'!D$5:D$1000, A28)/D28, 0))</f>
        <v/>
      </c>
      <c r="K28" s="18" t="str">
        <f>IF(A28="","",IF(D28=0, "Sem dados", IF(J28&gt;=2, "Excelente", IF(J28&gt;=1.5, "Bom", IF(J28&gt;=1, "Regular", "Ruim")))))</f>
        <v/>
      </c>
      <c r="L28" s="8"/>
      <c r="M28" s="24">
        <f>IF(A28="", 0, J28 + (1000-ROW())/1000000)</f>
        <v>0</v>
      </c>
    </row>
    <row r="29" spans="1:13" ht="16.5" x14ac:dyDescent="0.3">
      <c r="A29" s="22"/>
      <c r="B29" s="5"/>
      <c r="C29" s="17"/>
      <c r="D29" s="6"/>
      <c r="E29" s="7"/>
      <c r="F29" s="7"/>
      <c r="G29" s="7"/>
      <c r="H29" s="7" t="str">
        <f>IF(A29="","",COUNTIFS('Registro de Vendas'!D$5:D$1000, A29))</f>
        <v/>
      </c>
      <c r="I29" s="6" t="str">
        <f>IF(A29="","",IF(H29&gt;0, D29/H29, 0))</f>
        <v/>
      </c>
      <c r="J29" s="10" t="str">
        <f>IF(A29="","",IF(D29&gt;0, SUMIFS('Registro de Vendas'!B$5:B$1000, 'Registro de Vendas'!D$5:D$1000, A29)/D29, 0))</f>
        <v/>
      </c>
      <c r="K29" s="18" t="str">
        <f>IF(A29="","",IF(D29=0, "Sem dados", IF(J29&gt;=2, "Excelente", IF(J29&gt;=1.5, "Bom", IF(J29&gt;=1, "Regular", "Ruim")))))</f>
        <v/>
      </c>
      <c r="L29" s="8"/>
      <c r="M29" s="24">
        <f>IF(A29="", 0, J29 + (1000-ROW())/1000000)</f>
        <v>0</v>
      </c>
    </row>
    <row r="30" spans="1:13" ht="16.5" x14ac:dyDescent="0.3">
      <c r="A30" s="21"/>
      <c r="B30" s="5"/>
      <c r="C30" s="17"/>
      <c r="D30" s="6"/>
      <c r="E30" s="7"/>
      <c r="F30" s="7"/>
      <c r="G30" s="7"/>
      <c r="H30" s="7" t="str">
        <f>IF(A30="","",COUNTIFS('Registro de Vendas'!D$5:D$1000, A30))</f>
        <v/>
      </c>
      <c r="I30" s="6" t="str">
        <f>IF(A30="","",IF(H30&gt;0, D30/H30, 0))</f>
        <v/>
      </c>
      <c r="J30" s="10" t="str">
        <f>IF(A30="","",IF(D30&gt;0, SUMIFS('Registro de Vendas'!B$5:B$1000, 'Registro de Vendas'!D$5:D$1000, A30)/D30, 0))</f>
        <v/>
      </c>
      <c r="K30" s="18" t="str">
        <f>IF(A30="","",IF(D30=0, "Sem dados", IF(J30&gt;=2, "Excelente", IF(J30&gt;=1.5, "Bom", IF(J30&gt;=1, "Regular", "Ruim")))))</f>
        <v/>
      </c>
      <c r="L30" s="8"/>
      <c r="M30" s="24">
        <f>IF(A30="", 0, J30 + (1000-ROW())/1000000)</f>
        <v>0</v>
      </c>
    </row>
    <row r="31" spans="1:13" ht="16.5" x14ac:dyDescent="0.3">
      <c r="A31" s="22"/>
      <c r="B31" s="5"/>
      <c r="C31" s="17"/>
      <c r="D31" s="6"/>
      <c r="E31" s="7"/>
      <c r="F31" s="7"/>
      <c r="G31" s="7"/>
      <c r="H31" s="7" t="str">
        <f>IF(A31="","",COUNTIFS('Registro de Vendas'!D$5:D$1000, A31))</f>
        <v/>
      </c>
      <c r="I31" s="6" t="str">
        <f>IF(A31="","",IF(H31&gt;0, D31/H31, 0))</f>
        <v/>
      </c>
      <c r="J31" s="10" t="str">
        <f>IF(A31="","",IF(D31&gt;0, SUMIFS('Registro de Vendas'!B$5:B$1000, 'Registro de Vendas'!D$5:D$1000, A31)/D31, 0))</f>
        <v/>
      </c>
      <c r="K31" s="18" t="str">
        <f>IF(A31="","",IF(D31=0, "Sem dados", IF(J31&gt;=2, "Excelente", IF(J31&gt;=1.5, "Bom", IF(J31&gt;=1, "Regular", "Ruim")))))</f>
        <v/>
      </c>
      <c r="L31" s="8"/>
      <c r="M31" s="24">
        <f>IF(A31="", 0, J31 + (1000-ROW())/1000000)</f>
        <v>0</v>
      </c>
    </row>
    <row r="32" spans="1:13" ht="16.5" x14ac:dyDescent="0.3">
      <c r="A32" s="21"/>
      <c r="B32" s="5"/>
      <c r="C32" s="17"/>
      <c r="D32" s="6"/>
      <c r="E32" s="7"/>
      <c r="F32" s="7"/>
      <c r="G32" s="7"/>
      <c r="H32" s="7" t="str">
        <f>IF(A32="","",COUNTIFS('Registro de Vendas'!D$5:D$1000, A32))</f>
        <v/>
      </c>
      <c r="I32" s="6" t="str">
        <f>IF(A32="","",IF(H32&gt;0, D32/H32, 0))</f>
        <v/>
      </c>
      <c r="J32" s="10" t="str">
        <f>IF(A32="","",IF(D32&gt;0, SUMIFS('Registro de Vendas'!B$5:B$1000, 'Registro de Vendas'!D$5:D$1000, A32)/D32, 0))</f>
        <v/>
      </c>
      <c r="K32" s="18" t="str">
        <f>IF(A32="","",IF(D32=0, "Sem dados", IF(J32&gt;=2, "Excelente", IF(J32&gt;=1.5, "Bom", IF(J32&gt;=1, "Regular", "Ruim")))))</f>
        <v/>
      </c>
      <c r="L32" s="8"/>
      <c r="M32" s="24">
        <f>IF(A32="", 0, J32 + (1000-ROW())/1000000)</f>
        <v>0</v>
      </c>
    </row>
    <row r="33" spans="1:13" ht="16.5" x14ac:dyDescent="0.3">
      <c r="A33" s="22"/>
      <c r="B33" s="5"/>
      <c r="C33" s="17"/>
      <c r="D33" s="6"/>
      <c r="E33" s="7"/>
      <c r="F33" s="7"/>
      <c r="G33" s="7"/>
      <c r="H33" s="7" t="str">
        <f>IF(A33="","",COUNTIFS('Registro de Vendas'!D$5:D$1000, A33))</f>
        <v/>
      </c>
      <c r="I33" s="6" t="str">
        <f>IF(A33="","",IF(H33&gt;0, D33/H33, 0))</f>
        <v/>
      </c>
      <c r="J33" s="10" t="str">
        <f>IF(A33="","",IF(D33&gt;0, SUMIFS('Registro de Vendas'!B$5:B$1000, 'Registro de Vendas'!D$5:D$1000, A33)/D33, 0))</f>
        <v/>
      </c>
      <c r="K33" s="18" t="str">
        <f>IF(A33="","",IF(D33=0, "Sem dados", IF(J33&gt;=2, "Excelente", IF(J33&gt;=1.5, "Bom", IF(J33&gt;=1, "Regular", "Ruim")))))</f>
        <v/>
      </c>
      <c r="L33" s="8"/>
      <c r="M33" s="24">
        <f>IF(A33="", 0, J33 + (1000-ROW())/1000000)</f>
        <v>0</v>
      </c>
    </row>
    <row r="34" spans="1:13" ht="16.5" x14ac:dyDescent="0.3">
      <c r="A34" s="21"/>
      <c r="B34" s="5"/>
      <c r="C34" s="17"/>
      <c r="D34" s="6"/>
      <c r="E34" s="7"/>
      <c r="F34" s="7"/>
      <c r="G34" s="7"/>
      <c r="H34" s="7" t="str">
        <f>IF(A34="","",COUNTIFS('Registro de Vendas'!D$5:D$1000, A34))</f>
        <v/>
      </c>
      <c r="I34" s="6" t="str">
        <f>IF(A34="","",IF(H34&gt;0, D34/H34, 0))</f>
        <v/>
      </c>
      <c r="J34" s="10" t="str">
        <f>IF(A34="","",IF(D34&gt;0, SUMIFS('Registro de Vendas'!B$5:B$1000, 'Registro de Vendas'!D$5:D$1000, A34)/D34, 0))</f>
        <v/>
      </c>
      <c r="K34" s="18" t="str">
        <f>IF(A34="","",IF(D34=0, "Sem dados", IF(J34&gt;=2, "Excelente", IF(J34&gt;=1.5, "Bom", IF(J34&gt;=1, "Regular", "Ruim")))))</f>
        <v/>
      </c>
      <c r="L34" s="8"/>
      <c r="M34" s="24">
        <f>IF(A34="", 0, J34 + (1000-ROW())/1000000)</f>
        <v>0</v>
      </c>
    </row>
    <row r="35" spans="1:13" ht="16.5" x14ac:dyDescent="0.3">
      <c r="A35" s="22"/>
      <c r="B35" s="5"/>
      <c r="C35" s="17"/>
      <c r="D35" s="6"/>
      <c r="E35" s="7"/>
      <c r="F35" s="7"/>
      <c r="G35" s="7"/>
      <c r="H35" s="7" t="str">
        <f>IF(A35="","",COUNTIFS('Registro de Vendas'!D$5:D$1000, A35))</f>
        <v/>
      </c>
      <c r="I35" s="6" t="str">
        <f>IF(A35="","",IF(H35&gt;0, D35/H35, 0))</f>
        <v/>
      </c>
      <c r="J35" s="10" t="str">
        <f>IF(A35="","",IF(D35&gt;0, SUMIFS('Registro de Vendas'!B$5:B$1000, 'Registro de Vendas'!D$5:D$1000, A35)/D35, 0))</f>
        <v/>
      </c>
      <c r="K35" s="18" t="str">
        <f>IF(A35="","",IF(D35=0, "Sem dados", IF(J35&gt;=2, "Excelente", IF(J35&gt;=1.5, "Bom", IF(J35&gt;=1, "Regular", "Ruim")))))</f>
        <v/>
      </c>
      <c r="L35" s="8"/>
      <c r="M35" s="24">
        <f>IF(A35="", 0, J35 + (1000-ROW())/1000000)</f>
        <v>0</v>
      </c>
    </row>
    <row r="36" spans="1:13" ht="16.5" x14ac:dyDescent="0.3">
      <c r="A36" s="21"/>
      <c r="B36" s="5"/>
      <c r="C36" s="17"/>
      <c r="D36" s="6"/>
      <c r="E36" s="7"/>
      <c r="F36" s="7"/>
      <c r="G36" s="7"/>
      <c r="H36" s="7" t="str">
        <f>IF(A36="","",COUNTIFS('Registro de Vendas'!D$5:D$1000, A36))</f>
        <v/>
      </c>
      <c r="I36" s="6" t="str">
        <f>IF(A36="","",IF(H36&gt;0, D36/H36, 0))</f>
        <v/>
      </c>
      <c r="J36" s="10" t="str">
        <f>IF(A36="","",IF(D36&gt;0, SUMIFS('Registro de Vendas'!B$5:B$1000, 'Registro de Vendas'!D$5:D$1000, A36)/D36, 0))</f>
        <v/>
      </c>
      <c r="K36" s="18" t="str">
        <f>IF(A36="","",IF(D36=0, "Sem dados", IF(J36&gt;=2, "Excelente", IF(J36&gt;=1.5, "Bom", IF(J36&gt;=1, "Regular", "Ruim")))))</f>
        <v/>
      </c>
      <c r="L36" s="8"/>
      <c r="M36" s="24">
        <f>IF(A36="", 0, J36 + (1000-ROW())/1000000)</f>
        <v>0</v>
      </c>
    </row>
    <row r="37" spans="1:13" ht="16.5" x14ac:dyDescent="0.3">
      <c r="A37" s="22"/>
      <c r="B37" s="5"/>
      <c r="C37" s="17"/>
      <c r="D37" s="6"/>
      <c r="E37" s="7"/>
      <c r="F37" s="7"/>
      <c r="G37" s="7"/>
      <c r="H37" s="7" t="str">
        <f>IF(A37="","",COUNTIFS('Registro de Vendas'!D$5:D$1000, A37))</f>
        <v/>
      </c>
      <c r="I37" s="6" t="str">
        <f>IF(A37="","",IF(H37&gt;0, D37/H37, 0))</f>
        <v/>
      </c>
      <c r="J37" s="10" t="str">
        <f>IF(A37="","",IF(D37&gt;0, SUMIFS('Registro de Vendas'!B$5:B$1000, 'Registro de Vendas'!D$5:D$1000, A37)/D37, 0))</f>
        <v/>
      </c>
      <c r="K37" s="18" t="str">
        <f>IF(A37="","",IF(D37=0, "Sem dados", IF(J37&gt;=2, "Excelente", IF(J37&gt;=1.5, "Bom", IF(J37&gt;=1, "Regular", "Ruim")))))</f>
        <v/>
      </c>
      <c r="L37" s="8"/>
      <c r="M37" s="24">
        <f>IF(A37="", 0, J37 + (1000-ROW())/1000000)</f>
        <v>0</v>
      </c>
    </row>
    <row r="38" spans="1:13" ht="16.5" x14ac:dyDescent="0.3">
      <c r="A38" s="21"/>
      <c r="B38" s="5"/>
      <c r="C38" s="17"/>
      <c r="D38" s="6"/>
      <c r="E38" s="7"/>
      <c r="F38" s="7"/>
      <c r="G38" s="7"/>
      <c r="H38" s="7" t="str">
        <f>IF(A38="","",COUNTIFS('Registro de Vendas'!D$5:D$1000, A38))</f>
        <v/>
      </c>
      <c r="I38" s="6" t="str">
        <f>IF(A38="","",IF(H38&gt;0, D38/H38, 0))</f>
        <v/>
      </c>
      <c r="J38" s="10" t="str">
        <f>IF(A38="","",IF(D38&gt;0, SUMIFS('Registro de Vendas'!B$5:B$1000, 'Registro de Vendas'!D$5:D$1000, A38)/D38, 0))</f>
        <v/>
      </c>
      <c r="K38" s="18" t="str">
        <f>IF(A38="","",IF(D38=0, "Sem dados", IF(J38&gt;=2, "Excelente", IF(J38&gt;=1.5, "Bom", IF(J38&gt;=1, "Regular", "Ruim")))))</f>
        <v/>
      </c>
      <c r="L38" s="8"/>
      <c r="M38" s="24">
        <f>IF(A38="", 0, J38 + (1000-ROW())/1000000)</f>
        <v>0</v>
      </c>
    </row>
    <row r="39" spans="1:13" ht="16.5" x14ac:dyDescent="0.3">
      <c r="A39" s="22"/>
      <c r="B39" s="5"/>
      <c r="C39" s="17"/>
      <c r="D39" s="6"/>
      <c r="E39" s="7"/>
      <c r="F39" s="7"/>
      <c r="G39" s="7"/>
      <c r="H39" s="7" t="str">
        <f>IF(A39="","",COUNTIFS('Registro de Vendas'!D$5:D$1000, A39))</f>
        <v/>
      </c>
      <c r="I39" s="6" t="str">
        <f>IF(A39="","",IF(H39&gt;0, D39/H39, 0))</f>
        <v/>
      </c>
      <c r="J39" s="10" t="str">
        <f>IF(A39="","",IF(D39&gt;0, SUMIFS('Registro de Vendas'!B$5:B$1000, 'Registro de Vendas'!D$5:D$1000, A39)/D39, 0))</f>
        <v/>
      </c>
      <c r="K39" s="18" t="str">
        <f>IF(A39="","",IF(D39=0, "Sem dados", IF(J39&gt;=2, "Excelente", IF(J39&gt;=1.5, "Bom", IF(J39&gt;=1, "Regular", "Ruim")))))</f>
        <v/>
      </c>
      <c r="L39" s="8"/>
      <c r="M39" s="24">
        <f>IF(A39="", 0, J39 + (1000-ROW())/1000000)</f>
        <v>0</v>
      </c>
    </row>
    <row r="40" spans="1:13" ht="16.5" x14ac:dyDescent="0.3">
      <c r="A40" s="21"/>
      <c r="B40" s="5"/>
      <c r="C40" s="17"/>
      <c r="D40" s="6"/>
      <c r="E40" s="7"/>
      <c r="F40" s="7"/>
      <c r="G40" s="7"/>
      <c r="H40" s="7" t="str">
        <f>IF(A40="","",COUNTIFS('Registro de Vendas'!D$5:D$1000, A40))</f>
        <v/>
      </c>
      <c r="I40" s="6" t="str">
        <f>IF(A40="","",IF(H40&gt;0, D40/H40, 0))</f>
        <v/>
      </c>
      <c r="J40" s="10" t="str">
        <f>IF(A40="","",IF(D40&gt;0, SUMIFS('Registro de Vendas'!B$5:B$1000, 'Registro de Vendas'!D$5:D$1000, A40)/D40, 0))</f>
        <v/>
      </c>
      <c r="K40" s="18" t="str">
        <f>IF(A40="","",IF(D40=0, "Sem dados", IF(J40&gt;=2, "Excelente", IF(J40&gt;=1.5, "Bom", IF(J40&gt;=1, "Regular", "Ruim")))))</f>
        <v/>
      </c>
      <c r="L40" s="8"/>
      <c r="M40" s="24">
        <f>IF(A40="", 0, J40 + (1000-ROW())/1000000)</f>
        <v>0</v>
      </c>
    </row>
    <row r="41" spans="1:13" ht="16.5" x14ac:dyDescent="0.3">
      <c r="A41" s="22"/>
      <c r="B41" s="5"/>
      <c r="C41" s="17"/>
      <c r="D41" s="6"/>
      <c r="E41" s="7"/>
      <c r="F41" s="7"/>
      <c r="G41" s="7"/>
      <c r="H41" s="7" t="str">
        <f>IF(A41="","",COUNTIFS('Registro de Vendas'!D$5:D$1000, A41))</f>
        <v/>
      </c>
      <c r="I41" s="6" t="str">
        <f>IF(A41="","",IF(H41&gt;0, D41/H41, 0))</f>
        <v/>
      </c>
      <c r="J41" s="10" t="str">
        <f>IF(A41="","",IF(D41&gt;0, SUMIFS('Registro de Vendas'!B$5:B$1000, 'Registro de Vendas'!D$5:D$1000, A41)/D41, 0))</f>
        <v/>
      </c>
      <c r="K41" s="18" t="str">
        <f>IF(A41="","",IF(D41=0, "Sem dados", IF(J41&gt;=2, "Excelente", IF(J41&gt;=1.5, "Bom", IF(J41&gt;=1, "Regular", "Ruim")))))</f>
        <v/>
      </c>
      <c r="L41" s="8"/>
      <c r="M41" s="24">
        <f>IF(A41="", 0, J41 + (1000-ROW())/1000000)</f>
        <v>0</v>
      </c>
    </row>
    <row r="42" spans="1:13" ht="16.5" x14ac:dyDescent="0.3">
      <c r="A42" s="21"/>
      <c r="B42" s="5"/>
      <c r="C42" s="17"/>
      <c r="D42" s="6"/>
      <c r="E42" s="7"/>
      <c r="F42" s="7"/>
      <c r="G42" s="7"/>
      <c r="H42" s="7" t="str">
        <f>IF(A42="","",COUNTIFS('Registro de Vendas'!D$5:D$1000, A42))</f>
        <v/>
      </c>
      <c r="I42" s="6" t="str">
        <f>IF(A42="","",IF(H42&gt;0, D42/H42, 0))</f>
        <v/>
      </c>
      <c r="J42" s="10" t="str">
        <f>IF(A42="","",IF(D42&gt;0, SUMIFS('Registro de Vendas'!B$5:B$1000, 'Registro de Vendas'!D$5:D$1000, A42)/D42, 0))</f>
        <v/>
      </c>
      <c r="K42" s="18" t="str">
        <f>IF(A42="","",IF(D42=0, "Sem dados", IF(J42&gt;=2, "Excelente", IF(J42&gt;=1.5, "Bom", IF(J42&gt;=1, "Regular", "Ruim")))))</f>
        <v/>
      </c>
      <c r="L42" s="8"/>
      <c r="M42" s="24">
        <f>IF(A42="", 0, J42 + (1000-ROW())/1000000)</f>
        <v>0</v>
      </c>
    </row>
    <row r="43" spans="1:13" ht="16.5" x14ac:dyDescent="0.3">
      <c r="A43" s="22"/>
      <c r="B43" s="5"/>
      <c r="C43" s="17"/>
      <c r="D43" s="6"/>
      <c r="E43" s="7"/>
      <c r="F43" s="7"/>
      <c r="G43" s="7"/>
      <c r="H43" s="7" t="str">
        <f>IF(A43="","",COUNTIFS('Registro de Vendas'!D$5:D$1000, A43))</f>
        <v/>
      </c>
      <c r="I43" s="6" t="str">
        <f>IF(A43="","",IF(H43&gt;0, D43/H43, 0))</f>
        <v/>
      </c>
      <c r="J43" s="10" t="str">
        <f>IF(A43="","",IF(D43&gt;0, SUMIFS('Registro de Vendas'!B$5:B$1000, 'Registro de Vendas'!D$5:D$1000, A43)/D43, 0))</f>
        <v/>
      </c>
      <c r="K43" s="18" t="str">
        <f>IF(A43="","",IF(D43=0, "Sem dados", IF(J43&gt;=2, "Excelente", IF(J43&gt;=1.5, "Bom", IF(J43&gt;=1, "Regular", "Ruim")))))</f>
        <v/>
      </c>
      <c r="L43" s="8"/>
      <c r="M43" s="24">
        <f>IF(A43="", 0, J43 + (1000-ROW())/1000000)</f>
        <v>0</v>
      </c>
    </row>
    <row r="44" spans="1:13" ht="16.5" x14ac:dyDescent="0.3">
      <c r="A44" s="21"/>
      <c r="B44" s="5"/>
      <c r="C44" s="17"/>
      <c r="D44" s="6"/>
      <c r="E44" s="7"/>
      <c r="F44" s="7"/>
      <c r="G44" s="7"/>
      <c r="H44" s="7" t="str">
        <f>IF(A44="","",COUNTIFS('Registro de Vendas'!D$5:D$1000, A44))</f>
        <v/>
      </c>
      <c r="I44" s="6" t="str">
        <f>IF(A44="","",IF(H44&gt;0, D44/H44, 0))</f>
        <v/>
      </c>
      <c r="J44" s="10" t="str">
        <f>IF(A44="","",IF(D44&gt;0, SUMIFS('Registro de Vendas'!B$5:B$1000, 'Registro de Vendas'!D$5:D$1000, A44)/D44, 0))</f>
        <v/>
      </c>
      <c r="K44" s="18" t="str">
        <f>IF(A44="","",IF(D44=0, "Sem dados", IF(J44&gt;=2, "Excelente", IF(J44&gt;=1.5, "Bom", IF(J44&gt;=1, "Regular", "Ruim")))))</f>
        <v/>
      </c>
      <c r="L44" s="8"/>
      <c r="M44" s="24">
        <f>IF(A44="", 0, J44 + (1000-ROW())/1000000)</f>
        <v>0</v>
      </c>
    </row>
    <row r="45" spans="1:13" ht="16.5" x14ac:dyDescent="0.3">
      <c r="A45" s="22"/>
      <c r="B45" s="5"/>
      <c r="C45" s="17"/>
      <c r="D45" s="6"/>
      <c r="E45" s="7"/>
      <c r="F45" s="7"/>
      <c r="G45" s="7"/>
      <c r="H45" s="7" t="str">
        <f>IF(A45="","",COUNTIFS('Registro de Vendas'!D$5:D$1000, A45))</f>
        <v/>
      </c>
      <c r="I45" s="6" t="str">
        <f>IF(A45="","",IF(H45&gt;0, D45/H45, 0))</f>
        <v/>
      </c>
      <c r="J45" s="10" t="str">
        <f>IF(A45="","",IF(D45&gt;0, SUMIFS('Registro de Vendas'!B$5:B$1000, 'Registro de Vendas'!D$5:D$1000, A45)/D45, 0))</f>
        <v/>
      </c>
      <c r="K45" s="18" t="str">
        <f>IF(A45="","",IF(D45=0, "Sem dados", IF(J45&gt;=2, "Excelente", IF(J45&gt;=1.5, "Bom", IF(J45&gt;=1, "Regular", "Ruim")))))</f>
        <v/>
      </c>
      <c r="L45" s="8"/>
      <c r="M45" s="24">
        <f>IF(A45="", 0, J45 + (1000-ROW())/1000000)</f>
        <v>0</v>
      </c>
    </row>
    <row r="46" spans="1:13" ht="16.5" x14ac:dyDescent="0.3">
      <c r="A46" s="21"/>
      <c r="B46" s="5"/>
      <c r="C46" s="17"/>
      <c r="D46" s="6"/>
      <c r="E46" s="7"/>
      <c r="F46" s="7"/>
      <c r="G46" s="7"/>
      <c r="H46" s="7" t="str">
        <f>IF(A46="","",COUNTIFS('Registro de Vendas'!D$5:D$1000, A46))</f>
        <v/>
      </c>
      <c r="I46" s="6" t="str">
        <f>IF(A46="","",IF(H46&gt;0, D46/H46, 0))</f>
        <v/>
      </c>
      <c r="J46" s="10" t="str">
        <f>IF(A46="","",IF(D46&gt;0, SUMIFS('Registro de Vendas'!B$5:B$1000, 'Registro de Vendas'!D$5:D$1000, A46)/D46, 0))</f>
        <v/>
      </c>
      <c r="K46" s="18" t="str">
        <f>IF(A46="","",IF(D46=0, "Sem dados", IF(J46&gt;=2, "Excelente", IF(J46&gt;=1.5, "Bom", IF(J46&gt;=1, "Regular", "Ruim")))))</f>
        <v/>
      </c>
      <c r="L46" s="8"/>
      <c r="M46" s="24">
        <f>IF(A46="", 0, J46 + (1000-ROW())/1000000)</f>
        <v>0</v>
      </c>
    </row>
    <row r="47" spans="1:13" ht="16.5" x14ac:dyDescent="0.3">
      <c r="A47" s="22"/>
      <c r="B47" s="5"/>
      <c r="C47" s="17"/>
      <c r="D47" s="6"/>
      <c r="E47" s="7"/>
      <c r="F47" s="7"/>
      <c r="G47" s="7"/>
      <c r="H47" s="7" t="str">
        <f>IF(A47="","",COUNTIFS('Registro de Vendas'!D$5:D$1000, A47))</f>
        <v/>
      </c>
      <c r="I47" s="6" t="str">
        <f>IF(A47="","",IF(H47&gt;0, D47/H47, 0))</f>
        <v/>
      </c>
      <c r="J47" s="10" t="str">
        <f>IF(A47="","",IF(D47&gt;0, SUMIFS('Registro de Vendas'!B$5:B$1000, 'Registro de Vendas'!D$5:D$1000, A47)/D47, 0))</f>
        <v/>
      </c>
      <c r="K47" s="18" t="str">
        <f>IF(A47="","",IF(D47=0, "Sem dados", IF(J47&gt;=2, "Excelente", IF(J47&gt;=1.5, "Bom", IF(J47&gt;=1, "Regular", "Ruim")))))</f>
        <v/>
      </c>
      <c r="L47" s="8"/>
      <c r="M47" s="24">
        <f>IF(A47="", 0, J47 + (1000-ROW())/1000000)</f>
        <v>0</v>
      </c>
    </row>
    <row r="48" spans="1:13" ht="16.5" x14ac:dyDescent="0.3">
      <c r="A48" s="21"/>
      <c r="B48" s="5"/>
      <c r="C48" s="17"/>
      <c r="D48" s="6"/>
      <c r="E48" s="7"/>
      <c r="F48" s="7"/>
      <c r="G48" s="7"/>
      <c r="H48" s="7" t="str">
        <f>IF(A48="","",COUNTIFS('Registro de Vendas'!D$5:D$1000, A48))</f>
        <v/>
      </c>
      <c r="I48" s="6" t="str">
        <f>IF(A48="","",IF(H48&gt;0, D48/H48, 0))</f>
        <v/>
      </c>
      <c r="J48" s="10" t="str">
        <f>IF(A48="","",IF(D48&gt;0, SUMIFS('Registro de Vendas'!B$5:B$1000, 'Registro de Vendas'!D$5:D$1000, A48)/D48, 0))</f>
        <v/>
      </c>
      <c r="K48" s="18" t="str">
        <f>IF(A48="","",IF(D48=0, "Sem dados", IF(J48&gt;=2, "Excelente", IF(J48&gt;=1.5, "Bom", IF(J48&gt;=1, "Regular", "Ruim")))))</f>
        <v/>
      </c>
      <c r="L48" s="8"/>
      <c r="M48" s="24">
        <f>IF(A48="", 0, J48 + (1000-ROW())/1000000)</f>
        <v>0</v>
      </c>
    </row>
    <row r="49" spans="1:13" ht="16.5" x14ac:dyDescent="0.3">
      <c r="A49" s="22"/>
      <c r="B49" s="5"/>
      <c r="C49" s="17"/>
      <c r="D49" s="6"/>
      <c r="E49" s="7"/>
      <c r="F49" s="7"/>
      <c r="G49" s="7"/>
      <c r="H49" s="7" t="str">
        <f>IF(A49="","",COUNTIFS('Registro de Vendas'!D$5:D$1000, A49))</f>
        <v/>
      </c>
      <c r="I49" s="6" t="str">
        <f>IF(A49="","",IF(H49&gt;0, D49/H49, 0))</f>
        <v/>
      </c>
      <c r="J49" s="10" t="str">
        <f>IF(A49="","",IF(D49&gt;0, SUMIFS('Registro de Vendas'!B$5:B$1000, 'Registro de Vendas'!D$5:D$1000, A49)/D49, 0))</f>
        <v/>
      </c>
      <c r="K49" s="18" t="str">
        <f>IF(A49="","",IF(D49=0, "Sem dados", IF(J49&gt;=2, "Excelente", IF(J49&gt;=1.5, "Bom", IF(J49&gt;=1, "Regular", "Ruim")))))</f>
        <v/>
      </c>
      <c r="L49" s="8"/>
      <c r="M49" s="24">
        <f>IF(A49="", 0, J49 + (1000-ROW())/1000000)</f>
        <v>0</v>
      </c>
    </row>
    <row r="50" spans="1:13" ht="16.5" x14ac:dyDescent="0.3">
      <c r="A50" s="21"/>
      <c r="B50" s="5"/>
      <c r="C50" s="17"/>
      <c r="D50" s="6"/>
      <c r="E50" s="7"/>
      <c r="F50" s="7"/>
      <c r="G50" s="7"/>
      <c r="H50" s="7" t="str">
        <f>IF(A50="","",COUNTIFS('Registro de Vendas'!D$5:D$1000, A50))</f>
        <v/>
      </c>
      <c r="I50" s="6" t="str">
        <f>IF(A50="","",IF(H50&gt;0, D50/H50, 0))</f>
        <v/>
      </c>
      <c r="J50" s="10" t="str">
        <f>IF(A50="","",IF(D50&gt;0, SUMIFS('Registro de Vendas'!B$5:B$1000, 'Registro de Vendas'!D$5:D$1000, A50)/D50, 0))</f>
        <v/>
      </c>
      <c r="K50" s="18" t="str">
        <f>IF(A50="","",IF(D50=0, "Sem dados", IF(J50&gt;=2, "Excelente", IF(J50&gt;=1.5, "Bom", IF(J50&gt;=1, "Regular", "Ruim")))))</f>
        <v/>
      </c>
      <c r="L50" s="8"/>
      <c r="M50" s="24">
        <f>IF(A50="", 0, J50 + (1000-ROW())/1000000)</f>
        <v>0</v>
      </c>
    </row>
    <row r="51" spans="1:13" ht="16.5" x14ac:dyDescent="0.3">
      <c r="A51" s="22"/>
      <c r="B51" s="5"/>
      <c r="C51" s="17"/>
      <c r="D51" s="6"/>
      <c r="E51" s="7"/>
      <c r="F51" s="7"/>
      <c r="G51" s="7"/>
      <c r="H51" s="7" t="str">
        <f>IF(A51="","",COUNTIFS('Registro de Vendas'!D$5:D$1000, A51))</f>
        <v/>
      </c>
      <c r="I51" s="6" t="str">
        <f>IF(A51="","",IF(H51&gt;0, D51/H51, 0))</f>
        <v/>
      </c>
      <c r="J51" s="10" t="str">
        <f>IF(A51="","",IF(D51&gt;0, SUMIFS('Registro de Vendas'!B$5:B$1000, 'Registro de Vendas'!D$5:D$1000, A51)/D51, 0))</f>
        <v/>
      </c>
      <c r="K51" s="18" t="str">
        <f>IF(A51="","",IF(D51=0, "Sem dados", IF(J51&gt;=2, "Excelente", IF(J51&gt;=1.5, "Bom", IF(J51&gt;=1, "Regular", "Ruim")))))</f>
        <v/>
      </c>
      <c r="L51" s="8"/>
      <c r="M51" s="24">
        <f>IF(A51="", 0, J51 + (1000-ROW())/1000000)</f>
        <v>0</v>
      </c>
    </row>
    <row r="52" spans="1:13" ht="16.5" x14ac:dyDescent="0.3">
      <c r="A52" s="21"/>
      <c r="B52" s="5"/>
      <c r="C52" s="17"/>
      <c r="D52" s="6"/>
      <c r="E52" s="7"/>
      <c r="F52" s="7"/>
      <c r="G52" s="7"/>
      <c r="H52" s="7" t="str">
        <f>IF(A52="","",COUNTIFS('Registro de Vendas'!D$5:D$1000, A52))</f>
        <v/>
      </c>
      <c r="I52" s="6" t="str">
        <f>IF(A52="","",IF(H52&gt;0, D52/H52, 0))</f>
        <v/>
      </c>
      <c r="J52" s="10" t="str">
        <f>IF(A52="","",IF(D52&gt;0, SUMIFS('Registro de Vendas'!B$5:B$1000, 'Registro de Vendas'!D$5:D$1000, A52)/D52, 0))</f>
        <v/>
      </c>
      <c r="K52" s="18" t="str">
        <f>IF(A52="","",IF(D52=0, "Sem dados", IF(J52&gt;=2, "Excelente", IF(J52&gt;=1.5, "Bom", IF(J52&gt;=1, "Regular", "Ruim")))))</f>
        <v/>
      </c>
      <c r="L52" s="8"/>
      <c r="M52" s="24">
        <f>IF(A52="", 0, J52 + (1000-ROW())/1000000)</f>
        <v>0</v>
      </c>
    </row>
    <row r="53" spans="1:13" ht="16.5" x14ac:dyDescent="0.3">
      <c r="A53" s="22"/>
      <c r="B53" s="5"/>
      <c r="C53" s="17"/>
      <c r="D53" s="6"/>
      <c r="E53" s="7"/>
      <c r="F53" s="7"/>
      <c r="G53" s="7"/>
      <c r="H53" s="7" t="str">
        <f>IF(A53="","",COUNTIFS('Registro de Vendas'!D$5:D$1000, A53))</f>
        <v/>
      </c>
      <c r="I53" s="6" t="str">
        <f>IF(A53="","",IF(H53&gt;0, D53/H53, 0))</f>
        <v/>
      </c>
      <c r="J53" s="10" t="str">
        <f>IF(A53="","",IF(D53&gt;0, SUMIFS('Registro de Vendas'!B$5:B$1000, 'Registro de Vendas'!D$5:D$1000, A53)/D53, 0))</f>
        <v/>
      </c>
      <c r="K53" s="18" t="str">
        <f>IF(A53="","",IF(D53=0, "Sem dados", IF(J53&gt;=2, "Excelente", IF(J53&gt;=1.5, "Bom", IF(J53&gt;=1, "Regular", "Ruim")))))</f>
        <v/>
      </c>
      <c r="L53" s="8"/>
      <c r="M53" s="24">
        <f>IF(A53="", 0, J53 + (1000-ROW())/1000000)</f>
        <v>0</v>
      </c>
    </row>
    <row r="54" spans="1:13" ht="16.5" x14ac:dyDescent="0.3">
      <c r="A54" s="21"/>
      <c r="B54" s="5"/>
      <c r="C54" s="17"/>
      <c r="D54" s="6"/>
      <c r="E54" s="7"/>
      <c r="F54" s="7"/>
      <c r="G54" s="7"/>
      <c r="H54" s="7" t="str">
        <f>IF(A54="","",COUNTIFS('Registro de Vendas'!D$5:D$1000, A54))</f>
        <v/>
      </c>
      <c r="I54" s="6" t="str">
        <f>IF(A54="","",IF(H54&gt;0, D54/H54, 0))</f>
        <v/>
      </c>
      <c r="J54" s="10" t="str">
        <f>IF(A54="","",IF(D54&gt;0, SUMIFS('Registro de Vendas'!B$5:B$1000, 'Registro de Vendas'!D$5:D$1000, A54)/D54, 0))</f>
        <v/>
      </c>
      <c r="K54" s="18" t="str">
        <f>IF(A54="","",IF(D54=0, "Sem dados", IF(J54&gt;=2, "Excelente", IF(J54&gt;=1.5, "Bom", IF(J54&gt;=1, "Regular", "Ruim")))))</f>
        <v/>
      </c>
      <c r="L54" s="8"/>
      <c r="M54" s="24">
        <f>IF(A54="", 0, J54 + (1000-ROW())/1000000)</f>
        <v>0</v>
      </c>
    </row>
    <row r="55" spans="1:13" ht="16.5" x14ac:dyDescent="0.3">
      <c r="A55" s="22"/>
      <c r="B55" s="5"/>
      <c r="C55" s="17"/>
      <c r="D55" s="6"/>
      <c r="E55" s="7"/>
      <c r="F55" s="7"/>
      <c r="G55" s="7"/>
      <c r="H55" s="7" t="str">
        <f>IF(A55="","",COUNTIFS('Registro de Vendas'!D$5:D$1000, A55))</f>
        <v/>
      </c>
      <c r="I55" s="6" t="str">
        <f>IF(A55="","",IF(H55&gt;0, D55/H55, 0))</f>
        <v/>
      </c>
      <c r="J55" s="10" t="str">
        <f>IF(A55="","",IF(D55&gt;0, SUMIFS('Registro de Vendas'!B$5:B$1000, 'Registro de Vendas'!D$5:D$1000, A55)/D55, 0))</f>
        <v/>
      </c>
      <c r="K55" s="18" t="str">
        <f>IF(A55="","",IF(D55=0, "Sem dados", IF(J55&gt;=2, "Excelente", IF(J55&gt;=1.5, "Bom", IF(J55&gt;=1, "Regular", "Ruim")))))</f>
        <v/>
      </c>
      <c r="L55" s="8"/>
      <c r="M55" s="24">
        <f>IF(A55="", 0, J55 + (1000-ROW())/1000000)</f>
        <v>0</v>
      </c>
    </row>
    <row r="56" spans="1:13" ht="16.5" x14ac:dyDescent="0.3">
      <c r="A56" s="21"/>
      <c r="B56" s="5"/>
      <c r="C56" s="17"/>
      <c r="D56" s="6"/>
      <c r="E56" s="7"/>
      <c r="F56" s="7"/>
      <c r="G56" s="7"/>
      <c r="H56" s="7" t="str">
        <f>IF(A56="","",COUNTIFS('Registro de Vendas'!D$5:D$1000, A56))</f>
        <v/>
      </c>
      <c r="I56" s="6" t="str">
        <f>IF(A56="","",IF(H56&gt;0, D56/H56, 0))</f>
        <v/>
      </c>
      <c r="J56" s="10" t="str">
        <f>IF(A56="","",IF(D56&gt;0, SUMIFS('Registro de Vendas'!B$5:B$1000, 'Registro de Vendas'!D$5:D$1000, A56)/D56, 0))</f>
        <v/>
      </c>
      <c r="K56" s="18" t="str">
        <f>IF(A56="","",IF(D56=0, "Sem dados", IF(J56&gt;=2, "Excelente", IF(J56&gt;=1.5, "Bom", IF(J56&gt;=1, "Regular", "Ruim")))))</f>
        <v/>
      </c>
      <c r="L56" s="8"/>
      <c r="M56" s="24">
        <f>IF(A56="", 0, J56 + (1000-ROW())/1000000)</f>
        <v>0</v>
      </c>
    </row>
    <row r="57" spans="1:13" ht="16.5" x14ac:dyDescent="0.3">
      <c r="A57" s="22"/>
      <c r="B57" s="5"/>
      <c r="C57" s="17"/>
      <c r="D57" s="6"/>
      <c r="E57" s="7"/>
      <c r="F57" s="7"/>
      <c r="G57" s="7"/>
      <c r="H57" s="7" t="str">
        <f>IF(A57="","",COUNTIFS('Registro de Vendas'!D$5:D$1000, A57))</f>
        <v/>
      </c>
      <c r="I57" s="6" t="str">
        <f>IF(A57="","",IF(H57&gt;0, D57/H57, 0))</f>
        <v/>
      </c>
      <c r="J57" s="10" t="str">
        <f>IF(A57="","",IF(D57&gt;0, SUMIFS('Registro de Vendas'!B$5:B$1000, 'Registro de Vendas'!D$5:D$1000, A57)/D57, 0))</f>
        <v/>
      </c>
      <c r="K57" s="18" t="str">
        <f>IF(A57="","",IF(D57=0, "Sem dados", IF(J57&gt;=2, "Excelente", IF(J57&gt;=1.5, "Bom", IF(J57&gt;=1, "Regular", "Ruim")))))</f>
        <v/>
      </c>
      <c r="L57" s="8"/>
      <c r="M57" s="24">
        <f>IF(A57="", 0, J57 + (1000-ROW())/1000000)</f>
        <v>0</v>
      </c>
    </row>
    <row r="58" spans="1:13" ht="16.5" x14ac:dyDescent="0.3">
      <c r="A58" s="21"/>
      <c r="B58" s="5"/>
      <c r="C58" s="17"/>
      <c r="D58" s="6"/>
      <c r="E58" s="7"/>
      <c r="F58" s="7"/>
      <c r="G58" s="7"/>
      <c r="H58" s="7" t="str">
        <f>IF(A58="","",COUNTIFS('Registro de Vendas'!D$5:D$1000, A58))</f>
        <v/>
      </c>
      <c r="I58" s="6" t="str">
        <f>IF(A58="","",IF(H58&gt;0, D58/H58, 0))</f>
        <v/>
      </c>
      <c r="J58" s="10" t="str">
        <f>IF(A58="","",IF(D58&gt;0, SUMIFS('Registro de Vendas'!B$5:B$1000, 'Registro de Vendas'!D$5:D$1000, A58)/D58, 0))</f>
        <v/>
      </c>
      <c r="K58" s="18" t="str">
        <f>IF(A58="","",IF(D58=0, "Sem dados", IF(J58&gt;=2, "Excelente", IF(J58&gt;=1.5, "Bom", IF(J58&gt;=1, "Regular", "Ruim")))))</f>
        <v/>
      </c>
      <c r="L58" s="8"/>
      <c r="M58" s="24">
        <f>IF(A58="", 0, J58 + (1000-ROW())/1000000)</f>
        <v>0</v>
      </c>
    </row>
    <row r="59" spans="1:13" ht="16.5" x14ac:dyDescent="0.3">
      <c r="A59" s="22"/>
      <c r="B59" s="5"/>
      <c r="C59" s="17"/>
      <c r="D59" s="6"/>
      <c r="E59" s="7"/>
      <c r="F59" s="7"/>
      <c r="G59" s="7"/>
      <c r="H59" s="7" t="str">
        <f>IF(A59="","",COUNTIFS('Registro de Vendas'!D$5:D$1000, A59))</f>
        <v/>
      </c>
      <c r="I59" s="6" t="str">
        <f>IF(A59="","",IF(H59&gt;0, D59/H59, 0))</f>
        <v/>
      </c>
      <c r="J59" s="10" t="str">
        <f>IF(A59="","",IF(D59&gt;0, SUMIFS('Registro de Vendas'!B$5:B$1000, 'Registro de Vendas'!D$5:D$1000, A59)/D59, 0))</f>
        <v/>
      </c>
      <c r="K59" s="18" t="str">
        <f>IF(A59="","",IF(D59=0, "Sem dados", IF(J59&gt;=2, "Excelente", IF(J59&gt;=1.5, "Bom", IF(J59&gt;=1, "Regular", "Ruim")))))</f>
        <v/>
      </c>
      <c r="L59" s="8"/>
      <c r="M59" s="24">
        <f>IF(A59="", 0, J59 + (1000-ROW())/1000000)</f>
        <v>0</v>
      </c>
    </row>
    <row r="60" spans="1:13" ht="16.5" x14ac:dyDescent="0.3">
      <c r="A60" s="21"/>
      <c r="B60" s="5"/>
      <c r="C60" s="17"/>
      <c r="D60" s="6"/>
      <c r="E60" s="7"/>
      <c r="F60" s="7"/>
      <c r="G60" s="7"/>
      <c r="H60" s="7" t="str">
        <f>IF(A60="","",COUNTIFS('Registro de Vendas'!D$5:D$1000, A60))</f>
        <v/>
      </c>
      <c r="I60" s="6" t="str">
        <f>IF(A60="","",IF(H60&gt;0, D60/H60, 0))</f>
        <v/>
      </c>
      <c r="J60" s="10" t="str">
        <f>IF(A60="","",IF(D60&gt;0, SUMIFS('Registro de Vendas'!B$5:B$1000, 'Registro de Vendas'!D$5:D$1000, A60)/D60, 0))</f>
        <v/>
      </c>
      <c r="K60" s="18" t="str">
        <f>IF(A60="","",IF(D60=0, "Sem dados", IF(J60&gt;=2, "Excelente", IF(J60&gt;=1.5, "Bom", IF(J60&gt;=1, "Regular", "Ruim")))))</f>
        <v/>
      </c>
      <c r="L60" s="8"/>
      <c r="M60" s="24">
        <f>IF(A60="", 0, J60 + (1000-ROW())/1000000)</f>
        <v>0</v>
      </c>
    </row>
    <row r="61" spans="1:13" ht="16.5" x14ac:dyDescent="0.3">
      <c r="A61" s="22"/>
      <c r="B61" s="5"/>
      <c r="C61" s="17"/>
      <c r="D61" s="6"/>
      <c r="E61" s="7"/>
      <c r="F61" s="7"/>
      <c r="G61" s="7"/>
      <c r="H61" s="7" t="str">
        <f>IF(A61="","",COUNTIFS('Registro de Vendas'!D$5:D$1000, A61))</f>
        <v/>
      </c>
      <c r="I61" s="6" t="str">
        <f>IF(A61="","",IF(H61&gt;0, D61/H61, 0))</f>
        <v/>
      </c>
      <c r="J61" s="10" t="str">
        <f>IF(A61="","",IF(D61&gt;0, SUMIFS('Registro de Vendas'!B$5:B$1000, 'Registro de Vendas'!D$5:D$1000, A61)/D61, 0))</f>
        <v/>
      </c>
      <c r="K61" s="18" t="str">
        <f>IF(A61="","",IF(D61=0, "Sem dados", IF(J61&gt;=2, "Excelente", IF(J61&gt;=1.5, "Bom", IF(J61&gt;=1, "Regular", "Ruim")))))</f>
        <v/>
      </c>
      <c r="L61" s="8"/>
      <c r="M61" s="24">
        <f>IF(A61="", 0, J61 + (1000-ROW())/1000000)</f>
        <v>0</v>
      </c>
    </row>
    <row r="62" spans="1:13" ht="16.5" x14ac:dyDescent="0.3">
      <c r="A62" s="21"/>
      <c r="B62" s="5"/>
      <c r="C62" s="17"/>
      <c r="D62" s="6"/>
      <c r="E62" s="7"/>
      <c r="F62" s="7"/>
      <c r="G62" s="7"/>
      <c r="H62" s="7" t="str">
        <f>IF(A62="","",COUNTIFS('Registro de Vendas'!D$5:D$1000, A62))</f>
        <v/>
      </c>
      <c r="I62" s="6" t="str">
        <f>IF(A62="","",IF(H62&gt;0, D62/H62, 0))</f>
        <v/>
      </c>
      <c r="J62" s="10" t="str">
        <f>IF(A62="","",IF(D62&gt;0, SUMIFS('Registro de Vendas'!B$5:B$1000, 'Registro de Vendas'!D$5:D$1000, A62)/D62, 0))</f>
        <v/>
      </c>
      <c r="K62" s="18" t="str">
        <f>IF(A62="","",IF(D62=0, "Sem dados", IF(J62&gt;=2, "Excelente", IF(J62&gt;=1.5, "Bom", IF(J62&gt;=1, "Regular", "Ruim")))))</f>
        <v/>
      </c>
      <c r="L62" s="8"/>
      <c r="M62" s="24">
        <f>IF(A62="", 0, J62 + (1000-ROW())/1000000)</f>
        <v>0</v>
      </c>
    </row>
    <row r="63" spans="1:13" ht="16.5" x14ac:dyDescent="0.3">
      <c r="A63" s="22"/>
      <c r="B63" s="5"/>
      <c r="C63" s="17"/>
      <c r="D63" s="6"/>
      <c r="E63" s="7"/>
      <c r="F63" s="7"/>
      <c r="G63" s="7"/>
      <c r="H63" s="7" t="str">
        <f>IF(A63="","",COUNTIFS('Registro de Vendas'!D$5:D$1000, A63))</f>
        <v/>
      </c>
      <c r="I63" s="6" t="str">
        <f>IF(A63="","",IF(H63&gt;0, D63/H63, 0))</f>
        <v/>
      </c>
      <c r="J63" s="10" t="str">
        <f>IF(A63="","",IF(D63&gt;0, SUMIFS('Registro de Vendas'!B$5:B$1000, 'Registro de Vendas'!D$5:D$1000, A63)/D63, 0))</f>
        <v/>
      </c>
      <c r="K63" s="18" t="str">
        <f>IF(A63="","",IF(D63=0, "Sem dados", IF(J63&gt;=2, "Excelente", IF(J63&gt;=1.5, "Bom", IF(J63&gt;=1, "Regular", "Ruim")))))</f>
        <v/>
      </c>
      <c r="L63" s="8"/>
      <c r="M63" s="24">
        <f>IF(A63="", 0, J63 + (1000-ROW())/1000000)</f>
        <v>0</v>
      </c>
    </row>
    <row r="64" spans="1:13" ht="16.5" x14ac:dyDescent="0.3">
      <c r="A64" s="21"/>
      <c r="B64" s="5"/>
      <c r="C64" s="17"/>
      <c r="D64" s="6"/>
      <c r="E64" s="7"/>
      <c r="F64" s="7"/>
      <c r="G64" s="7"/>
      <c r="H64" s="7" t="str">
        <f>IF(A64="","",COUNTIFS('Registro de Vendas'!D$5:D$1000, A64))</f>
        <v/>
      </c>
      <c r="I64" s="6" t="str">
        <f>IF(A64="","",IF(H64&gt;0, D64/H64, 0))</f>
        <v/>
      </c>
      <c r="J64" s="10" t="str">
        <f>IF(A64="","",IF(D64&gt;0, SUMIFS('Registro de Vendas'!B$5:B$1000, 'Registro de Vendas'!D$5:D$1000, A64)/D64, 0))</f>
        <v/>
      </c>
      <c r="K64" s="18" t="str">
        <f>IF(A64="","",IF(D64=0, "Sem dados", IF(J64&gt;=2, "Excelente", IF(J64&gt;=1.5, "Bom", IF(J64&gt;=1, "Regular", "Ruim")))))</f>
        <v/>
      </c>
      <c r="L64" s="8"/>
      <c r="M64" s="24">
        <f>IF(A64="", 0, J64 + (1000-ROW())/1000000)</f>
        <v>0</v>
      </c>
    </row>
    <row r="65" spans="1:13" ht="16.5" x14ac:dyDescent="0.3">
      <c r="A65" s="22"/>
      <c r="B65" s="5"/>
      <c r="C65" s="17"/>
      <c r="D65" s="6"/>
      <c r="E65" s="7"/>
      <c r="F65" s="7"/>
      <c r="G65" s="7"/>
      <c r="H65" s="7" t="str">
        <f>IF(A65="","",COUNTIFS('Registro de Vendas'!D$5:D$1000, A65))</f>
        <v/>
      </c>
      <c r="I65" s="6" t="str">
        <f>IF(A65="","",IF(H65&gt;0, D65/H65, 0))</f>
        <v/>
      </c>
      <c r="J65" s="10" t="str">
        <f>IF(A65="","",IF(D65&gt;0, SUMIFS('Registro de Vendas'!B$5:B$1000, 'Registro de Vendas'!D$5:D$1000, A65)/D65, 0))</f>
        <v/>
      </c>
      <c r="K65" s="18" t="str">
        <f>IF(A65="","",IF(D65=0, "Sem dados", IF(J65&gt;=2, "Excelente", IF(J65&gt;=1.5, "Bom", IF(J65&gt;=1, "Regular", "Ruim")))))</f>
        <v/>
      </c>
      <c r="L65" s="8"/>
      <c r="M65" s="24">
        <f>IF(A65="", 0, J65 + (1000-ROW())/1000000)</f>
        <v>0</v>
      </c>
    </row>
    <row r="66" spans="1:13" ht="16.5" x14ac:dyDescent="0.3">
      <c r="A66" s="21"/>
      <c r="B66" s="5"/>
      <c r="C66" s="17"/>
      <c r="D66" s="6"/>
      <c r="E66" s="7"/>
      <c r="F66" s="7"/>
      <c r="G66" s="7"/>
      <c r="H66" s="7" t="str">
        <f>IF(A66="","",COUNTIFS('Registro de Vendas'!D$5:D$1000, A66))</f>
        <v/>
      </c>
      <c r="I66" s="6" t="str">
        <f>IF(A66="","",IF(H66&gt;0, D66/H66, 0))</f>
        <v/>
      </c>
      <c r="J66" s="10" t="str">
        <f>IF(A66="","",IF(D66&gt;0, SUMIFS('Registro de Vendas'!B$5:B$1000, 'Registro de Vendas'!D$5:D$1000, A66)/D66, 0))</f>
        <v/>
      </c>
      <c r="K66" s="18" t="str">
        <f>IF(A66="","",IF(D66=0, "Sem dados", IF(J66&gt;=2, "Excelente", IF(J66&gt;=1.5, "Bom", IF(J66&gt;=1, "Regular", "Ruim")))))</f>
        <v/>
      </c>
      <c r="L66" s="8"/>
      <c r="M66" s="24">
        <f>IF(A66="", 0, J66 + (1000-ROW())/1000000)</f>
        <v>0</v>
      </c>
    </row>
    <row r="67" spans="1:13" ht="16.5" x14ac:dyDescent="0.3">
      <c r="A67" s="22"/>
      <c r="B67" s="5"/>
      <c r="C67" s="17"/>
      <c r="D67" s="6"/>
      <c r="E67" s="7"/>
      <c r="F67" s="7"/>
      <c r="G67" s="7"/>
      <c r="H67" s="7" t="str">
        <f>IF(A67="","",COUNTIFS('Registro de Vendas'!D$5:D$1000, A67))</f>
        <v/>
      </c>
      <c r="I67" s="6" t="str">
        <f>IF(A67="","",IF(H67&gt;0, D67/H67, 0))</f>
        <v/>
      </c>
      <c r="J67" s="10" t="str">
        <f>IF(A67="","",IF(D67&gt;0, SUMIFS('Registro de Vendas'!B$5:B$1000, 'Registro de Vendas'!D$5:D$1000, A67)/D67, 0))</f>
        <v/>
      </c>
      <c r="K67" s="18" t="str">
        <f>IF(A67="","",IF(D67=0, "Sem dados", IF(J67&gt;=2, "Excelente", IF(J67&gt;=1.5, "Bom", IF(J67&gt;=1, "Regular", "Ruim")))))</f>
        <v/>
      </c>
      <c r="L67" s="8"/>
      <c r="M67" s="24">
        <f>IF(A67="", 0, J67 + (1000-ROW())/1000000)</f>
        <v>0</v>
      </c>
    </row>
    <row r="68" spans="1:13" ht="16.5" x14ac:dyDescent="0.3">
      <c r="A68" s="21"/>
      <c r="B68" s="5"/>
      <c r="C68" s="17"/>
      <c r="D68" s="6"/>
      <c r="E68" s="7"/>
      <c r="F68" s="7"/>
      <c r="G68" s="7"/>
      <c r="H68" s="7" t="str">
        <f>IF(A68="","",COUNTIFS('Registro de Vendas'!D$5:D$1000, A68))</f>
        <v/>
      </c>
      <c r="I68" s="6" t="str">
        <f>IF(A68="","",IF(H68&gt;0, D68/H68, 0))</f>
        <v/>
      </c>
      <c r="J68" s="10" t="str">
        <f>IF(A68="","",IF(D68&gt;0, SUMIFS('Registro de Vendas'!B$5:B$1000, 'Registro de Vendas'!D$5:D$1000, A68)/D68, 0))</f>
        <v/>
      </c>
      <c r="K68" s="18" t="str">
        <f>IF(A68="","",IF(D68=0, "Sem dados", IF(J68&gt;=2, "Excelente", IF(J68&gt;=1.5, "Bom", IF(J68&gt;=1, "Regular", "Ruim")))))</f>
        <v/>
      </c>
      <c r="L68" s="8"/>
      <c r="M68" s="24">
        <f>IF(A68="", 0, J68 + (1000-ROW())/1000000)</f>
        <v>0</v>
      </c>
    </row>
    <row r="69" spans="1:13" ht="16.5" x14ac:dyDescent="0.3">
      <c r="A69" s="22"/>
      <c r="B69" s="5"/>
      <c r="C69" s="17"/>
      <c r="D69" s="6"/>
      <c r="E69" s="7"/>
      <c r="F69" s="7"/>
      <c r="G69" s="7"/>
      <c r="H69" s="7" t="str">
        <f>IF(A69="","",COUNTIFS('Registro de Vendas'!D$5:D$1000, A69))</f>
        <v/>
      </c>
      <c r="I69" s="6" t="str">
        <f>IF(A69="","",IF(H69&gt;0, D69/H69, 0))</f>
        <v/>
      </c>
      <c r="J69" s="10" t="str">
        <f>IF(A69="","",IF(D69&gt;0, SUMIFS('Registro de Vendas'!B$5:B$1000, 'Registro de Vendas'!D$5:D$1000, A69)/D69, 0))</f>
        <v/>
      </c>
      <c r="K69" s="18" t="str">
        <f>IF(A69="","",IF(D69=0, "Sem dados", IF(J69&gt;=2, "Excelente", IF(J69&gt;=1.5, "Bom", IF(J69&gt;=1, "Regular", "Ruim")))))</f>
        <v/>
      </c>
      <c r="L69" s="8"/>
      <c r="M69" s="24">
        <f>IF(A69="", 0, J69 + (1000-ROW())/1000000)</f>
        <v>0</v>
      </c>
    </row>
    <row r="70" spans="1:13" ht="16.5" x14ac:dyDescent="0.3">
      <c r="A70" s="21"/>
      <c r="B70" s="5"/>
      <c r="C70" s="17"/>
      <c r="D70" s="6"/>
      <c r="E70" s="7"/>
      <c r="F70" s="7"/>
      <c r="G70" s="7"/>
      <c r="H70" s="7" t="str">
        <f>IF(A70="","",COUNTIFS('Registro de Vendas'!D$5:D$1000, A70))</f>
        <v/>
      </c>
      <c r="I70" s="6" t="str">
        <f>IF(A70="","",IF(H70&gt;0, D70/H70, 0))</f>
        <v/>
      </c>
      <c r="J70" s="10" t="str">
        <f>IF(A70="","",IF(D70&gt;0, SUMIFS('Registro de Vendas'!B$5:B$1000, 'Registro de Vendas'!D$5:D$1000, A70)/D70, 0))</f>
        <v/>
      </c>
      <c r="K70" s="18" t="str">
        <f>IF(A70="","",IF(D70=0, "Sem dados", IF(J70&gt;=2, "Excelente", IF(J70&gt;=1.5, "Bom", IF(J70&gt;=1, "Regular", "Ruim")))))</f>
        <v/>
      </c>
      <c r="L70" s="8"/>
      <c r="M70" s="24">
        <f>IF(A70="", 0, J70 + (1000-ROW())/1000000)</f>
        <v>0</v>
      </c>
    </row>
    <row r="71" spans="1:13" ht="16.5" x14ac:dyDescent="0.3">
      <c r="A71" s="22"/>
      <c r="B71" s="5"/>
      <c r="C71" s="17"/>
      <c r="D71" s="6"/>
      <c r="E71" s="7"/>
      <c r="F71" s="7"/>
      <c r="G71" s="7"/>
      <c r="H71" s="7" t="str">
        <f>IF(A71="","",COUNTIFS('Registro de Vendas'!D$5:D$1000, A71))</f>
        <v/>
      </c>
      <c r="I71" s="6" t="str">
        <f>IF(A71="","",IF(H71&gt;0, D71/H71, 0))</f>
        <v/>
      </c>
      <c r="J71" s="10" t="str">
        <f>IF(A71="","",IF(D71&gt;0, SUMIFS('Registro de Vendas'!B$5:B$1000, 'Registro de Vendas'!D$5:D$1000, A71)/D71, 0))</f>
        <v/>
      </c>
      <c r="K71" s="18" t="str">
        <f>IF(A71="","",IF(D71=0, "Sem dados", IF(J71&gt;=2, "Excelente", IF(J71&gt;=1.5, "Bom", IF(J71&gt;=1, "Regular", "Ruim")))))</f>
        <v/>
      </c>
      <c r="L71" s="8"/>
      <c r="M71" s="24">
        <f>IF(A71="", 0, J71 + (1000-ROW())/1000000)</f>
        <v>0</v>
      </c>
    </row>
    <row r="72" spans="1:13" ht="16.5" x14ac:dyDescent="0.3">
      <c r="A72" s="21"/>
      <c r="B72" s="5"/>
      <c r="C72" s="17"/>
      <c r="D72" s="6"/>
      <c r="E72" s="7"/>
      <c r="F72" s="7"/>
      <c r="G72" s="7"/>
      <c r="H72" s="7" t="str">
        <f>IF(A72="","",COUNTIFS('Registro de Vendas'!D$5:D$1000, A72))</f>
        <v/>
      </c>
      <c r="I72" s="6" t="str">
        <f>IF(A72="","",IF(H72&gt;0, D72/H72, 0))</f>
        <v/>
      </c>
      <c r="J72" s="10" t="str">
        <f>IF(A72="","",IF(D72&gt;0, SUMIFS('Registro de Vendas'!B$5:B$1000, 'Registro de Vendas'!D$5:D$1000, A72)/D72, 0))</f>
        <v/>
      </c>
      <c r="K72" s="18" t="str">
        <f>IF(A72="","",IF(D72=0, "Sem dados", IF(J72&gt;=2, "Excelente", IF(J72&gt;=1.5, "Bom", IF(J72&gt;=1, "Regular", "Ruim")))))</f>
        <v/>
      </c>
      <c r="L72" s="8"/>
      <c r="M72" s="24">
        <f>IF(A72="", 0, J72 + (1000-ROW())/1000000)</f>
        <v>0</v>
      </c>
    </row>
    <row r="73" spans="1:13" ht="16.5" x14ac:dyDescent="0.3">
      <c r="A73" s="22"/>
      <c r="B73" s="5"/>
      <c r="C73" s="17"/>
      <c r="D73" s="6"/>
      <c r="E73" s="7"/>
      <c r="F73" s="7"/>
      <c r="G73" s="7"/>
      <c r="H73" s="7" t="str">
        <f>IF(A73="","",COUNTIFS('Registro de Vendas'!D$5:D$1000, A73))</f>
        <v/>
      </c>
      <c r="I73" s="6" t="str">
        <f>IF(A73="","",IF(H73&gt;0, D73/H73, 0))</f>
        <v/>
      </c>
      <c r="J73" s="10" t="str">
        <f>IF(A73="","",IF(D73&gt;0, SUMIFS('Registro de Vendas'!B$5:B$1000, 'Registro de Vendas'!D$5:D$1000, A73)/D73, 0))</f>
        <v/>
      </c>
      <c r="K73" s="18" t="str">
        <f>IF(A73="","",IF(D73=0, "Sem dados", IF(J73&gt;=2, "Excelente", IF(J73&gt;=1.5, "Bom", IF(J73&gt;=1, "Regular", "Ruim")))))</f>
        <v/>
      </c>
      <c r="L73" s="8"/>
      <c r="M73" s="24">
        <f>IF(A73="", 0, J73 + (1000-ROW())/1000000)</f>
        <v>0</v>
      </c>
    </row>
    <row r="74" spans="1:13" ht="16.5" x14ac:dyDescent="0.3">
      <c r="A74" s="21"/>
      <c r="B74" s="5"/>
      <c r="C74" s="17"/>
      <c r="D74" s="6"/>
      <c r="E74" s="7"/>
      <c r="F74" s="7"/>
      <c r="G74" s="7"/>
      <c r="H74" s="7" t="str">
        <f>IF(A74="","",COUNTIFS('Registro de Vendas'!D$5:D$1000, A74))</f>
        <v/>
      </c>
      <c r="I74" s="6" t="str">
        <f>IF(A74="","",IF(H74&gt;0, D74/H74, 0))</f>
        <v/>
      </c>
      <c r="J74" s="10" t="str">
        <f>IF(A74="","",IF(D74&gt;0, SUMIFS('Registro de Vendas'!B$5:B$1000, 'Registro de Vendas'!D$5:D$1000, A74)/D74, 0))</f>
        <v/>
      </c>
      <c r="K74" s="18" t="str">
        <f>IF(A74="","",IF(D74=0, "Sem dados", IF(J74&gt;=2, "Excelente", IF(J74&gt;=1.5, "Bom", IF(J74&gt;=1, "Regular", "Ruim")))))</f>
        <v/>
      </c>
      <c r="L74" s="8"/>
      <c r="M74" s="24">
        <f>IF(A74="", 0, J74 + (1000-ROW())/1000000)</f>
        <v>0</v>
      </c>
    </row>
    <row r="75" spans="1:13" ht="16.5" x14ac:dyDescent="0.3">
      <c r="A75" s="22"/>
      <c r="B75" s="5"/>
      <c r="C75" s="17"/>
      <c r="D75" s="6"/>
      <c r="E75" s="7"/>
      <c r="F75" s="7"/>
      <c r="G75" s="7"/>
      <c r="H75" s="7" t="str">
        <f>IF(A75="","",COUNTIFS('Registro de Vendas'!D$5:D$1000, A75))</f>
        <v/>
      </c>
      <c r="I75" s="6" t="str">
        <f>IF(A75="","",IF(H75&gt;0, D75/H75, 0))</f>
        <v/>
      </c>
      <c r="J75" s="10" t="str">
        <f>IF(A75="","",IF(D75&gt;0, SUMIFS('Registro de Vendas'!B$5:B$1000, 'Registro de Vendas'!D$5:D$1000, A75)/D75, 0))</f>
        <v/>
      </c>
      <c r="K75" s="18" t="str">
        <f>IF(A75="","",IF(D75=0, "Sem dados", IF(J75&gt;=2, "Excelente", IF(J75&gt;=1.5, "Bom", IF(J75&gt;=1, "Regular", "Ruim")))))</f>
        <v/>
      </c>
      <c r="L75" s="8"/>
      <c r="M75" s="24">
        <f>IF(A75="", 0, J75 + (1000-ROW())/1000000)</f>
        <v>0</v>
      </c>
    </row>
    <row r="76" spans="1:13" ht="16.5" x14ac:dyDescent="0.3">
      <c r="A76" s="21"/>
      <c r="B76" s="5"/>
      <c r="C76" s="17"/>
      <c r="D76" s="6"/>
      <c r="E76" s="7"/>
      <c r="F76" s="7"/>
      <c r="G76" s="7"/>
      <c r="H76" s="7" t="str">
        <f>IF(A76="","",COUNTIFS('Registro de Vendas'!D$5:D$1000, A76))</f>
        <v/>
      </c>
      <c r="I76" s="6" t="str">
        <f>IF(A76="","",IF(H76&gt;0, D76/H76, 0))</f>
        <v/>
      </c>
      <c r="J76" s="10" t="str">
        <f>IF(A76="","",IF(D76&gt;0, SUMIFS('Registro de Vendas'!B$5:B$1000, 'Registro de Vendas'!D$5:D$1000, A76)/D76, 0))</f>
        <v/>
      </c>
      <c r="K76" s="18" t="str">
        <f>IF(A76="","",IF(D76=0, "Sem dados", IF(J76&gt;=2, "Excelente", IF(J76&gt;=1.5, "Bom", IF(J76&gt;=1, "Regular", "Ruim")))))</f>
        <v/>
      </c>
      <c r="L76" s="8"/>
      <c r="M76" s="24">
        <f>IF(A76="", 0, J76 + (1000-ROW())/1000000)</f>
        <v>0</v>
      </c>
    </row>
    <row r="77" spans="1:13" ht="16.5" x14ac:dyDescent="0.3">
      <c r="A77" s="22"/>
      <c r="B77" s="5"/>
      <c r="C77" s="17"/>
      <c r="D77" s="6"/>
      <c r="E77" s="7"/>
      <c r="F77" s="7"/>
      <c r="G77" s="7"/>
      <c r="H77" s="7" t="str">
        <f>IF(A77="","",COUNTIFS('Registro de Vendas'!D$5:D$1000, A77))</f>
        <v/>
      </c>
      <c r="I77" s="6" t="str">
        <f>IF(A77="","",IF(H77&gt;0, D77/H77, 0))</f>
        <v/>
      </c>
      <c r="J77" s="10" t="str">
        <f>IF(A77="","",IF(D77&gt;0, SUMIFS('Registro de Vendas'!B$5:B$1000, 'Registro de Vendas'!D$5:D$1000, A77)/D77, 0))</f>
        <v/>
      </c>
      <c r="K77" s="18" t="str">
        <f>IF(A77="","",IF(D77=0, "Sem dados", IF(J77&gt;=2, "Excelente", IF(J77&gt;=1.5, "Bom", IF(J77&gt;=1, "Regular", "Ruim")))))</f>
        <v/>
      </c>
      <c r="L77" s="8"/>
      <c r="M77" s="24">
        <f>IF(A77="", 0, J77 + (1000-ROW())/1000000)</f>
        <v>0</v>
      </c>
    </row>
    <row r="78" spans="1:13" ht="16.5" x14ac:dyDescent="0.3">
      <c r="A78" s="21"/>
      <c r="B78" s="5"/>
      <c r="C78" s="17"/>
      <c r="D78" s="6"/>
      <c r="E78" s="7"/>
      <c r="F78" s="7"/>
      <c r="G78" s="7"/>
      <c r="H78" s="7" t="str">
        <f>IF(A78="","",COUNTIFS('Registro de Vendas'!D$5:D$1000, A78))</f>
        <v/>
      </c>
      <c r="I78" s="6" t="str">
        <f>IF(A78="","",IF(H78&gt;0, D78/H78, 0))</f>
        <v/>
      </c>
      <c r="J78" s="10" t="str">
        <f>IF(A78="","",IF(D78&gt;0, SUMIFS('Registro de Vendas'!B$5:B$1000, 'Registro de Vendas'!D$5:D$1000, A78)/D78, 0))</f>
        <v/>
      </c>
      <c r="K78" s="18" t="str">
        <f>IF(A78="","",IF(D78=0, "Sem dados", IF(J78&gt;=2, "Excelente", IF(J78&gt;=1.5, "Bom", IF(J78&gt;=1, "Regular", "Ruim")))))</f>
        <v/>
      </c>
      <c r="L78" s="8"/>
      <c r="M78" s="24">
        <f>IF(A78="", 0, J78 + (1000-ROW())/1000000)</f>
        <v>0</v>
      </c>
    </row>
    <row r="79" spans="1:13" ht="16.5" x14ac:dyDescent="0.3">
      <c r="A79" s="22"/>
      <c r="B79" s="5"/>
      <c r="C79" s="17"/>
      <c r="D79" s="6"/>
      <c r="E79" s="7"/>
      <c r="F79" s="7"/>
      <c r="G79" s="7"/>
      <c r="H79" s="7" t="str">
        <f>IF(A79="","",COUNTIFS('Registro de Vendas'!D$5:D$1000, A79))</f>
        <v/>
      </c>
      <c r="I79" s="6" t="str">
        <f>IF(A79="","",IF(H79&gt;0, D79/H79, 0))</f>
        <v/>
      </c>
      <c r="J79" s="10" t="str">
        <f>IF(A79="","",IF(D79&gt;0, SUMIFS('Registro de Vendas'!B$5:B$1000, 'Registro de Vendas'!D$5:D$1000, A79)/D79, 0))</f>
        <v/>
      </c>
      <c r="K79" s="18" t="str">
        <f>IF(A79="","",IF(D79=0, "Sem dados", IF(J79&gt;=2, "Excelente", IF(J79&gt;=1.5, "Bom", IF(J79&gt;=1, "Regular", "Ruim")))))</f>
        <v/>
      </c>
      <c r="L79" s="8"/>
      <c r="M79" s="24">
        <f>IF(A79="", 0, J79 + (1000-ROW())/1000000)</f>
        <v>0</v>
      </c>
    </row>
    <row r="80" spans="1:13" ht="16.5" x14ac:dyDescent="0.3">
      <c r="A80" s="21"/>
      <c r="B80" s="5"/>
      <c r="C80" s="17"/>
      <c r="D80" s="6"/>
      <c r="E80" s="7"/>
      <c r="F80" s="7"/>
      <c r="G80" s="7"/>
      <c r="H80" s="7" t="str">
        <f>IF(A80="","",COUNTIFS('Registro de Vendas'!D$5:D$1000, A80))</f>
        <v/>
      </c>
      <c r="I80" s="6" t="str">
        <f>IF(A80="","",IF(H80&gt;0, D80/H80, 0))</f>
        <v/>
      </c>
      <c r="J80" s="10" t="str">
        <f>IF(A80="","",IF(D80&gt;0, SUMIFS('Registro de Vendas'!B$5:B$1000, 'Registro de Vendas'!D$5:D$1000, A80)/D80, 0))</f>
        <v/>
      </c>
      <c r="K80" s="18" t="str">
        <f>IF(A80="","",IF(D80=0, "Sem dados", IF(J80&gt;=2, "Excelente", IF(J80&gt;=1.5, "Bom", IF(J80&gt;=1, "Regular", "Ruim")))))</f>
        <v/>
      </c>
      <c r="L80" s="8"/>
      <c r="M80" s="24">
        <f>IF(A80="", 0, J80 + (1000-ROW())/1000000)</f>
        <v>0</v>
      </c>
    </row>
    <row r="81" spans="1:13" ht="16.5" x14ac:dyDescent="0.3">
      <c r="A81" s="22"/>
      <c r="B81" s="5"/>
      <c r="C81" s="17"/>
      <c r="D81" s="6"/>
      <c r="E81" s="7"/>
      <c r="F81" s="7"/>
      <c r="G81" s="7"/>
      <c r="H81" s="7" t="str">
        <f>IF(A81="","",COUNTIFS('Registro de Vendas'!D$5:D$1000, A81))</f>
        <v/>
      </c>
      <c r="I81" s="6" t="str">
        <f>IF(A81="","",IF(H81&gt;0, D81/H81, 0))</f>
        <v/>
      </c>
      <c r="J81" s="10" t="str">
        <f>IF(A81="","",IF(D81&gt;0, SUMIFS('Registro de Vendas'!B$5:B$1000, 'Registro de Vendas'!D$5:D$1000, A81)/D81, 0))</f>
        <v/>
      </c>
      <c r="K81" s="18" t="str">
        <f>IF(A81="","",IF(D81=0, "Sem dados", IF(J81&gt;=2, "Excelente", IF(J81&gt;=1.5, "Bom", IF(J81&gt;=1, "Regular", "Ruim")))))</f>
        <v/>
      </c>
      <c r="L81" s="8"/>
      <c r="M81" s="24">
        <f>IF(A81="", 0, J81 + (1000-ROW())/1000000)</f>
        <v>0</v>
      </c>
    </row>
    <row r="82" spans="1:13" ht="16.5" x14ac:dyDescent="0.3">
      <c r="A82" s="21"/>
      <c r="B82" s="5"/>
      <c r="C82" s="17"/>
      <c r="D82" s="6"/>
      <c r="E82" s="7"/>
      <c r="F82" s="7"/>
      <c r="G82" s="7"/>
      <c r="H82" s="7" t="str">
        <f>IF(A82="","",COUNTIFS('Registro de Vendas'!D$5:D$1000, A82))</f>
        <v/>
      </c>
      <c r="I82" s="6" t="str">
        <f>IF(A82="","",IF(H82&gt;0, D82/H82, 0))</f>
        <v/>
      </c>
      <c r="J82" s="10" t="str">
        <f>IF(A82="","",IF(D82&gt;0, SUMIFS('Registro de Vendas'!B$5:B$1000, 'Registro de Vendas'!D$5:D$1000, A82)/D82, 0))</f>
        <v/>
      </c>
      <c r="K82" s="18" t="str">
        <f>IF(A82="","",IF(D82=0, "Sem dados", IF(J82&gt;=2, "Excelente", IF(J82&gt;=1.5, "Bom", IF(J82&gt;=1, "Regular", "Ruim")))))</f>
        <v/>
      </c>
      <c r="L82" s="8"/>
      <c r="M82" s="24">
        <f>IF(A82="", 0, J82 + (1000-ROW())/1000000)</f>
        <v>0</v>
      </c>
    </row>
    <row r="83" spans="1:13" ht="16.5" x14ac:dyDescent="0.3">
      <c r="A83" s="22"/>
      <c r="B83" s="5"/>
      <c r="C83" s="17"/>
      <c r="D83" s="6"/>
      <c r="E83" s="7"/>
      <c r="F83" s="7"/>
      <c r="G83" s="7"/>
      <c r="H83" s="7" t="str">
        <f>IF(A83="","",COUNTIFS('Registro de Vendas'!D$5:D$1000, A83))</f>
        <v/>
      </c>
      <c r="I83" s="6" t="str">
        <f>IF(A83="","",IF(H83&gt;0, D83/H83, 0))</f>
        <v/>
      </c>
      <c r="J83" s="10" t="str">
        <f>IF(A83="","",IF(D83&gt;0, SUMIFS('Registro de Vendas'!B$5:B$1000, 'Registro de Vendas'!D$5:D$1000, A83)/D83, 0))</f>
        <v/>
      </c>
      <c r="K83" s="18" t="str">
        <f>IF(A83="","",IF(D83=0, "Sem dados", IF(J83&gt;=2, "Excelente", IF(J83&gt;=1.5, "Bom", IF(J83&gt;=1, "Regular", "Ruim")))))</f>
        <v/>
      </c>
      <c r="L83" s="8"/>
      <c r="M83" s="24">
        <f>IF(A83="", 0, J83 + (1000-ROW())/1000000)</f>
        <v>0</v>
      </c>
    </row>
    <row r="84" spans="1:13" ht="16.5" x14ac:dyDescent="0.3">
      <c r="A84" s="21"/>
      <c r="B84" s="5"/>
      <c r="C84" s="17"/>
      <c r="D84" s="6"/>
      <c r="E84" s="7"/>
      <c r="F84" s="7"/>
      <c r="G84" s="7"/>
      <c r="H84" s="7" t="str">
        <f>IF(A84="","",COUNTIFS('Registro de Vendas'!D$5:D$1000, A84))</f>
        <v/>
      </c>
      <c r="I84" s="6" t="str">
        <f>IF(A84="","",IF(H84&gt;0, D84/H84, 0))</f>
        <v/>
      </c>
      <c r="J84" s="10" t="str">
        <f>IF(A84="","",IF(D84&gt;0, SUMIFS('Registro de Vendas'!B$5:B$1000, 'Registro de Vendas'!D$5:D$1000, A84)/D84, 0))</f>
        <v/>
      </c>
      <c r="K84" s="18" t="str">
        <f>IF(A84="","",IF(D84=0, "Sem dados", IF(J84&gt;=2, "Excelente", IF(J84&gt;=1.5, "Bom", IF(J84&gt;=1, "Regular", "Ruim")))))</f>
        <v/>
      </c>
      <c r="L84" s="8"/>
      <c r="M84" s="24">
        <f>IF(A84="", 0, J84 + (1000-ROW())/1000000)</f>
        <v>0</v>
      </c>
    </row>
    <row r="85" spans="1:13" ht="16.5" x14ac:dyDescent="0.3">
      <c r="A85" s="22"/>
      <c r="B85" s="5"/>
      <c r="C85" s="17"/>
      <c r="D85" s="6"/>
      <c r="E85" s="7"/>
      <c r="F85" s="7"/>
      <c r="G85" s="7"/>
      <c r="H85" s="7" t="str">
        <f>IF(A85="","",COUNTIFS('Registro de Vendas'!D$5:D$1000, A85))</f>
        <v/>
      </c>
      <c r="I85" s="6" t="str">
        <f>IF(A85="","",IF(H85&gt;0, D85/H85, 0))</f>
        <v/>
      </c>
      <c r="J85" s="10" t="str">
        <f>IF(A85="","",IF(D85&gt;0, SUMIFS('Registro de Vendas'!B$5:B$1000, 'Registro de Vendas'!D$5:D$1000, A85)/D85, 0))</f>
        <v/>
      </c>
      <c r="K85" s="18" t="str">
        <f>IF(A85="","",IF(D85=0, "Sem dados", IF(J85&gt;=2, "Excelente", IF(J85&gt;=1.5, "Bom", IF(J85&gt;=1, "Regular", "Ruim")))))</f>
        <v/>
      </c>
      <c r="L85" s="8"/>
      <c r="M85" s="24">
        <f>IF(A85="", 0, J85 + (1000-ROW())/1000000)</f>
        <v>0</v>
      </c>
    </row>
    <row r="86" spans="1:13" ht="16.5" x14ac:dyDescent="0.3">
      <c r="A86" s="21"/>
      <c r="B86" s="5"/>
      <c r="C86" s="17"/>
      <c r="D86" s="6"/>
      <c r="E86" s="7"/>
      <c r="F86" s="7"/>
      <c r="G86" s="7"/>
      <c r="H86" s="7" t="str">
        <f>IF(A86="","",COUNTIFS('Registro de Vendas'!D$5:D$1000, A86))</f>
        <v/>
      </c>
      <c r="I86" s="6" t="str">
        <f>IF(A86="","",IF(H86&gt;0, D86/H86, 0))</f>
        <v/>
      </c>
      <c r="J86" s="10" t="str">
        <f>IF(A86="","",IF(D86&gt;0, SUMIFS('Registro de Vendas'!B$5:B$1000, 'Registro de Vendas'!D$5:D$1000, A86)/D86, 0))</f>
        <v/>
      </c>
      <c r="K86" s="18" t="str">
        <f>IF(A86="","",IF(D86=0, "Sem dados", IF(J86&gt;=2, "Excelente", IF(J86&gt;=1.5, "Bom", IF(J86&gt;=1, "Regular", "Ruim")))))</f>
        <v/>
      </c>
      <c r="L86" s="8"/>
      <c r="M86" s="24">
        <f>IF(A86="", 0, J86 + (1000-ROW())/1000000)</f>
        <v>0</v>
      </c>
    </row>
    <row r="87" spans="1:13" ht="16.5" x14ac:dyDescent="0.3">
      <c r="A87" s="22"/>
      <c r="B87" s="5"/>
      <c r="C87" s="17"/>
      <c r="D87" s="6"/>
      <c r="E87" s="7"/>
      <c r="F87" s="7"/>
      <c r="G87" s="7"/>
      <c r="H87" s="7" t="str">
        <f>IF(A87="","",COUNTIFS('Registro de Vendas'!D$5:D$1000, A87))</f>
        <v/>
      </c>
      <c r="I87" s="6" t="str">
        <f>IF(A87="","",IF(H87&gt;0, D87/H87, 0))</f>
        <v/>
      </c>
      <c r="J87" s="10" t="str">
        <f>IF(A87="","",IF(D87&gt;0, SUMIFS('Registro de Vendas'!B$5:B$1000, 'Registro de Vendas'!D$5:D$1000, A87)/D87, 0))</f>
        <v/>
      </c>
      <c r="K87" s="18" t="str">
        <f>IF(A87="","",IF(D87=0, "Sem dados", IF(J87&gt;=2, "Excelente", IF(J87&gt;=1.5, "Bom", IF(J87&gt;=1, "Regular", "Ruim")))))</f>
        <v/>
      </c>
      <c r="L87" s="8"/>
      <c r="M87" s="24">
        <f>IF(A87="", 0, J87 + (1000-ROW())/1000000)</f>
        <v>0</v>
      </c>
    </row>
    <row r="88" spans="1:13" ht="16.5" x14ac:dyDescent="0.3">
      <c r="A88" s="21"/>
      <c r="B88" s="5"/>
      <c r="C88" s="17"/>
      <c r="D88" s="6"/>
      <c r="E88" s="7"/>
      <c r="F88" s="7"/>
      <c r="G88" s="7"/>
      <c r="H88" s="7" t="str">
        <f>IF(A88="","",COUNTIFS('Registro de Vendas'!D$5:D$1000, A88))</f>
        <v/>
      </c>
      <c r="I88" s="6" t="str">
        <f>IF(A88="","",IF(H88&gt;0, D88/H88, 0))</f>
        <v/>
      </c>
      <c r="J88" s="10" t="str">
        <f>IF(A88="","",IF(D88&gt;0, SUMIFS('Registro de Vendas'!B$5:B$1000, 'Registro de Vendas'!D$5:D$1000, A88)/D88, 0))</f>
        <v/>
      </c>
      <c r="K88" s="18" t="str">
        <f>IF(A88="","",IF(D88=0, "Sem dados", IF(J88&gt;=2, "Excelente", IF(J88&gt;=1.5, "Bom", IF(J88&gt;=1, "Regular", "Ruim")))))</f>
        <v/>
      </c>
      <c r="L88" s="8"/>
      <c r="M88" s="24">
        <f>IF(A88="", 0, J88 + (1000-ROW())/1000000)</f>
        <v>0</v>
      </c>
    </row>
    <row r="89" spans="1:13" ht="16.5" x14ac:dyDescent="0.3">
      <c r="A89" s="22"/>
      <c r="B89" s="5"/>
      <c r="C89" s="17"/>
      <c r="D89" s="6"/>
      <c r="E89" s="7"/>
      <c r="F89" s="7"/>
      <c r="G89" s="7"/>
      <c r="H89" s="7" t="str">
        <f>IF(A89="","",COUNTIFS('Registro de Vendas'!D$5:D$1000, A89))</f>
        <v/>
      </c>
      <c r="I89" s="6" t="str">
        <f>IF(A89="","",IF(H89&gt;0, D89/H89, 0))</f>
        <v/>
      </c>
      <c r="J89" s="10" t="str">
        <f>IF(A89="","",IF(D89&gt;0, SUMIFS('Registro de Vendas'!B$5:B$1000, 'Registro de Vendas'!D$5:D$1000, A89)/D89, 0))</f>
        <v/>
      </c>
      <c r="K89" s="18" t="str">
        <f>IF(A89="","",IF(D89=0, "Sem dados", IF(J89&gt;=2, "Excelente", IF(J89&gt;=1.5, "Bom", IF(J89&gt;=1, "Regular", "Ruim")))))</f>
        <v/>
      </c>
      <c r="L89" s="8"/>
      <c r="M89" s="24">
        <f>IF(A89="", 0, J89 + (1000-ROW())/1000000)</f>
        <v>0</v>
      </c>
    </row>
    <row r="90" spans="1:13" ht="16.5" x14ac:dyDescent="0.3">
      <c r="A90" s="21"/>
      <c r="B90" s="5"/>
      <c r="C90" s="17"/>
      <c r="D90" s="6"/>
      <c r="E90" s="7"/>
      <c r="F90" s="7"/>
      <c r="G90" s="7"/>
      <c r="H90" s="7" t="str">
        <f>IF(A90="","",COUNTIFS('Registro de Vendas'!D$5:D$1000, A90))</f>
        <v/>
      </c>
      <c r="I90" s="6" t="str">
        <f>IF(A90="","",IF(H90&gt;0, D90/H90, 0))</f>
        <v/>
      </c>
      <c r="J90" s="10" t="str">
        <f>IF(A90="","",IF(D90&gt;0, SUMIFS('Registro de Vendas'!B$5:B$1000, 'Registro de Vendas'!D$5:D$1000, A90)/D90, 0))</f>
        <v/>
      </c>
      <c r="K90" s="18" t="str">
        <f>IF(A90="","",IF(D90=0, "Sem dados", IF(J90&gt;=2, "Excelente", IF(J90&gt;=1.5, "Bom", IF(J90&gt;=1, "Regular", "Ruim")))))</f>
        <v/>
      </c>
      <c r="L90" s="8"/>
      <c r="M90" s="24">
        <f>IF(A90="", 0, J90 + (1000-ROW())/1000000)</f>
        <v>0</v>
      </c>
    </row>
    <row r="91" spans="1:13" ht="16.5" x14ac:dyDescent="0.3">
      <c r="A91" s="22"/>
      <c r="B91" s="5"/>
      <c r="C91" s="17"/>
      <c r="D91" s="6"/>
      <c r="E91" s="7"/>
      <c r="F91" s="7"/>
      <c r="G91" s="7"/>
      <c r="H91" s="7" t="str">
        <f>IF(A91="","",COUNTIFS('Registro de Vendas'!D$5:D$1000, A91))</f>
        <v/>
      </c>
      <c r="I91" s="6" t="str">
        <f>IF(A91="","",IF(H91&gt;0, D91/H91, 0))</f>
        <v/>
      </c>
      <c r="J91" s="10" t="str">
        <f>IF(A91="","",IF(D91&gt;0, SUMIFS('Registro de Vendas'!B$5:B$1000, 'Registro de Vendas'!D$5:D$1000, A91)/D91, 0))</f>
        <v/>
      </c>
      <c r="K91" s="18" t="str">
        <f>IF(A91="","",IF(D91=0, "Sem dados", IF(J91&gt;=2, "Excelente", IF(J91&gt;=1.5, "Bom", IF(J91&gt;=1, "Regular", "Ruim")))))</f>
        <v/>
      </c>
      <c r="L91" s="8"/>
      <c r="M91" s="24">
        <f>IF(A91="", 0, J91 + (1000-ROW())/1000000)</f>
        <v>0</v>
      </c>
    </row>
    <row r="92" spans="1:13" ht="16.5" x14ac:dyDescent="0.3">
      <c r="A92" s="21"/>
      <c r="B92" s="5"/>
      <c r="C92" s="17"/>
      <c r="D92" s="6"/>
      <c r="E92" s="7"/>
      <c r="F92" s="7"/>
      <c r="G92" s="7"/>
      <c r="H92" s="7" t="str">
        <f>IF(A92="","",COUNTIFS('Registro de Vendas'!D$5:D$1000, A92))</f>
        <v/>
      </c>
      <c r="I92" s="6" t="str">
        <f>IF(A92="","",IF(H92&gt;0, D92/H92, 0))</f>
        <v/>
      </c>
      <c r="J92" s="10" t="str">
        <f>IF(A92="","",IF(D92&gt;0, SUMIFS('Registro de Vendas'!B$5:B$1000, 'Registro de Vendas'!D$5:D$1000, A92)/D92, 0))</f>
        <v/>
      </c>
      <c r="K92" s="18" t="str">
        <f>IF(A92="","",IF(D92=0, "Sem dados", IF(J92&gt;=2, "Excelente", IF(J92&gt;=1.5, "Bom", IF(J92&gt;=1, "Regular", "Ruim")))))</f>
        <v/>
      </c>
      <c r="L92" s="8"/>
      <c r="M92" s="24">
        <f>IF(A92="", 0, J92 + (1000-ROW())/1000000)</f>
        <v>0</v>
      </c>
    </row>
    <row r="93" spans="1:13" ht="16.5" x14ac:dyDescent="0.3">
      <c r="A93" s="22"/>
      <c r="B93" s="5"/>
      <c r="C93" s="17"/>
      <c r="D93" s="6"/>
      <c r="E93" s="7"/>
      <c r="F93" s="7"/>
      <c r="G93" s="7"/>
      <c r="H93" s="7" t="str">
        <f>IF(A93="","",COUNTIFS('Registro de Vendas'!D$5:D$1000, A93))</f>
        <v/>
      </c>
      <c r="I93" s="6" t="str">
        <f>IF(A93="","",IF(H93&gt;0, D93/H93, 0))</f>
        <v/>
      </c>
      <c r="J93" s="10" t="str">
        <f>IF(A93="","",IF(D93&gt;0, SUMIFS('Registro de Vendas'!B$5:B$1000, 'Registro de Vendas'!D$5:D$1000, A93)/D93, 0))</f>
        <v/>
      </c>
      <c r="K93" s="18" t="str">
        <f>IF(A93="","",IF(D93=0, "Sem dados", IF(J93&gt;=2, "Excelente", IF(J93&gt;=1.5, "Bom", IF(J93&gt;=1, "Regular", "Ruim")))))</f>
        <v/>
      </c>
      <c r="L93" s="8"/>
      <c r="M93" s="24">
        <f>IF(A93="", 0, J93 + (1000-ROW())/1000000)</f>
        <v>0</v>
      </c>
    </row>
    <row r="94" spans="1:13" ht="16.5" x14ac:dyDescent="0.3">
      <c r="A94" s="21"/>
      <c r="B94" s="5"/>
      <c r="C94" s="17"/>
      <c r="D94" s="6"/>
      <c r="E94" s="7"/>
      <c r="F94" s="7"/>
      <c r="G94" s="7"/>
      <c r="H94" s="7" t="str">
        <f>IF(A94="","",COUNTIFS('Registro de Vendas'!D$5:D$1000, A94))</f>
        <v/>
      </c>
      <c r="I94" s="6" t="str">
        <f>IF(A94="","",IF(H94&gt;0, D94/H94, 0))</f>
        <v/>
      </c>
      <c r="J94" s="10" t="str">
        <f>IF(A94="","",IF(D94&gt;0, SUMIFS('Registro de Vendas'!B$5:B$1000, 'Registro de Vendas'!D$5:D$1000, A94)/D94, 0))</f>
        <v/>
      </c>
      <c r="K94" s="18" t="str">
        <f>IF(A94="","",IF(D94=0, "Sem dados", IF(J94&gt;=2, "Excelente", IF(J94&gt;=1.5, "Bom", IF(J94&gt;=1, "Regular", "Ruim")))))</f>
        <v/>
      </c>
      <c r="L94" s="8"/>
      <c r="M94" s="24">
        <f>IF(A94="", 0, J94 + (1000-ROW())/1000000)</f>
        <v>0</v>
      </c>
    </row>
    <row r="95" spans="1:13" ht="16.5" x14ac:dyDescent="0.3">
      <c r="A95" s="22"/>
      <c r="B95" s="5"/>
      <c r="C95" s="17"/>
      <c r="D95" s="6"/>
      <c r="E95" s="7"/>
      <c r="F95" s="7"/>
      <c r="G95" s="7"/>
      <c r="H95" s="7" t="str">
        <f>IF(A95="","",COUNTIFS('Registro de Vendas'!D$5:D$1000, A95))</f>
        <v/>
      </c>
      <c r="I95" s="6" t="str">
        <f>IF(A95="","",IF(H95&gt;0, D95/H95, 0))</f>
        <v/>
      </c>
      <c r="J95" s="10" t="str">
        <f>IF(A95="","",IF(D95&gt;0, SUMIFS('Registro de Vendas'!B$5:B$1000, 'Registro de Vendas'!D$5:D$1000, A95)/D95, 0))</f>
        <v/>
      </c>
      <c r="K95" s="18" t="str">
        <f>IF(A95="","",IF(D95=0, "Sem dados", IF(J95&gt;=2, "Excelente", IF(J95&gt;=1.5, "Bom", IF(J95&gt;=1, "Regular", "Ruim")))))</f>
        <v/>
      </c>
      <c r="L95" s="8"/>
      <c r="M95" s="24">
        <f>IF(A95="", 0, J95 + (1000-ROW())/1000000)</f>
        <v>0</v>
      </c>
    </row>
    <row r="96" spans="1:13" ht="16.5" x14ac:dyDescent="0.3">
      <c r="A96" s="21"/>
      <c r="B96" s="5"/>
      <c r="C96" s="17"/>
      <c r="D96" s="6"/>
      <c r="E96" s="7"/>
      <c r="F96" s="7"/>
      <c r="G96" s="7"/>
      <c r="H96" s="7" t="str">
        <f>IF(A96="","",COUNTIFS('Registro de Vendas'!D$5:D$1000, A96))</f>
        <v/>
      </c>
      <c r="I96" s="6" t="str">
        <f>IF(A96="","",IF(H96&gt;0, D96/H96, 0))</f>
        <v/>
      </c>
      <c r="J96" s="10" t="str">
        <f>IF(A96="","",IF(D96&gt;0, SUMIFS('Registro de Vendas'!B$5:B$1000, 'Registro de Vendas'!D$5:D$1000, A96)/D96, 0))</f>
        <v/>
      </c>
      <c r="K96" s="18" t="str">
        <f>IF(A96="","",IF(D96=0, "Sem dados", IF(J96&gt;=2, "Excelente", IF(J96&gt;=1.5, "Bom", IF(J96&gt;=1, "Regular", "Ruim")))))</f>
        <v/>
      </c>
      <c r="L96" s="8"/>
      <c r="M96" s="24">
        <f>IF(A96="", 0, J96 + (1000-ROW())/1000000)</f>
        <v>0</v>
      </c>
    </row>
    <row r="97" spans="1:13" ht="16.5" x14ac:dyDescent="0.3">
      <c r="A97" s="22"/>
      <c r="B97" s="5"/>
      <c r="C97" s="17"/>
      <c r="D97" s="6"/>
      <c r="E97" s="7"/>
      <c r="F97" s="7"/>
      <c r="G97" s="7"/>
      <c r="H97" s="7" t="str">
        <f>IF(A97="","",COUNTIFS('Registro de Vendas'!D$5:D$1000, A97))</f>
        <v/>
      </c>
      <c r="I97" s="6" t="str">
        <f>IF(A97="","",IF(H97&gt;0, D97/H97, 0))</f>
        <v/>
      </c>
      <c r="J97" s="10" t="str">
        <f>IF(A97="","",IF(D97&gt;0, SUMIFS('Registro de Vendas'!B$5:B$1000, 'Registro de Vendas'!D$5:D$1000, A97)/D97, 0))</f>
        <v/>
      </c>
      <c r="K97" s="18" t="str">
        <f>IF(A97="","",IF(D97=0, "Sem dados", IF(J97&gt;=2, "Excelente", IF(J97&gt;=1.5, "Bom", IF(J97&gt;=1, "Regular", "Ruim")))))</f>
        <v/>
      </c>
      <c r="L97" s="8"/>
      <c r="M97" s="24">
        <f>IF(A97="", 0, J97 + (1000-ROW())/1000000)</f>
        <v>0</v>
      </c>
    </row>
    <row r="98" spans="1:13" ht="16.5" x14ac:dyDescent="0.3">
      <c r="A98" s="21"/>
      <c r="B98" s="5"/>
      <c r="C98" s="17"/>
      <c r="D98" s="6"/>
      <c r="E98" s="7"/>
      <c r="F98" s="7"/>
      <c r="G98" s="7"/>
      <c r="H98" s="7" t="str">
        <f>IF(A98="","",COUNTIFS('Registro de Vendas'!D$5:D$1000, A98))</f>
        <v/>
      </c>
      <c r="I98" s="6" t="str">
        <f>IF(A98="","",IF(H98&gt;0, D98/H98, 0))</f>
        <v/>
      </c>
      <c r="J98" s="10" t="str">
        <f>IF(A98="","",IF(D98&gt;0, SUMIFS('Registro de Vendas'!B$5:B$1000, 'Registro de Vendas'!D$5:D$1000, A98)/D98, 0))</f>
        <v/>
      </c>
      <c r="K98" s="18" t="str">
        <f>IF(A98="","",IF(D98=0, "Sem dados", IF(J98&gt;=2, "Excelente", IF(J98&gt;=1.5, "Bom", IF(J98&gt;=1, "Regular", "Ruim")))))</f>
        <v/>
      </c>
      <c r="L98" s="8"/>
      <c r="M98" s="24">
        <f>IF(A98="", 0, J98 + (1000-ROW())/1000000)</f>
        <v>0</v>
      </c>
    </row>
    <row r="99" spans="1:13" ht="16.5" x14ac:dyDescent="0.3">
      <c r="A99" s="22"/>
      <c r="B99" s="5"/>
      <c r="C99" s="17"/>
      <c r="D99" s="6"/>
      <c r="E99" s="7"/>
      <c r="F99" s="7"/>
      <c r="G99" s="7"/>
      <c r="H99" s="7" t="str">
        <f>IF(A99="","",COUNTIFS('Registro de Vendas'!D$5:D$1000, A99))</f>
        <v/>
      </c>
      <c r="I99" s="6" t="str">
        <f>IF(A99="","",IF(H99&gt;0, D99/H99, 0))</f>
        <v/>
      </c>
      <c r="J99" s="10" t="str">
        <f>IF(A99="","",IF(D99&gt;0, SUMIFS('Registro de Vendas'!B$5:B$1000, 'Registro de Vendas'!D$5:D$1000, A99)/D99, 0))</f>
        <v/>
      </c>
      <c r="K99" s="18" t="str">
        <f>IF(A99="","",IF(D99=0, "Sem dados", IF(J99&gt;=2, "Excelente", IF(J99&gt;=1.5, "Bom", IF(J99&gt;=1, "Regular", "Ruim")))))</f>
        <v/>
      </c>
      <c r="L99" s="8"/>
      <c r="M99" s="24">
        <f>IF(A99="", 0, J99 + (1000-ROW())/1000000)</f>
        <v>0</v>
      </c>
    </row>
    <row r="100" spans="1:13" ht="16.5" x14ac:dyDescent="0.3">
      <c r="A100" s="21"/>
      <c r="B100" s="5"/>
      <c r="C100" s="17"/>
      <c r="D100" s="6"/>
      <c r="E100" s="7"/>
      <c r="F100" s="7"/>
      <c r="G100" s="7"/>
      <c r="H100" s="7" t="str">
        <f>IF(A100="","",COUNTIFS('Registro de Vendas'!D$5:D$1000, A100))</f>
        <v/>
      </c>
      <c r="I100" s="6" t="str">
        <f>IF(A100="","",IF(H100&gt;0, D100/H100, 0))</f>
        <v/>
      </c>
      <c r="J100" s="10" t="str">
        <f>IF(A100="","",IF(D100&gt;0, SUMIFS('Registro de Vendas'!B$5:B$1000, 'Registro de Vendas'!D$5:D$1000, A100)/D100, 0))</f>
        <v/>
      </c>
      <c r="K100" s="18" t="str">
        <f>IF(A100="","",IF(D100=0, "Sem dados", IF(J100&gt;=2, "Excelente", IF(J100&gt;=1.5, "Bom", IF(J100&gt;=1, "Regular", "Ruim")))))</f>
        <v/>
      </c>
      <c r="L100" s="8"/>
      <c r="M100" s="24">
        <f>IF(A100="", 0, J100 + (1000-ROW())/1000000)</f>
        <v>0</v>
      </c>
    </row>
  </sheetData>
  <autoFilter ref="A4:L4" xr:uid="{5789D5E6-23C7-41E7-A3B9-F2466BC6DCD1}"/>
  <mergeCells count="2">
    <mergeCell ref="A2:L2"/>
    <mergeCell ref="O4:R4"/>
  </mergeCells>
  <conditionalFormatting sqref="K5:K100">
    <cfRule type="cellIs" dxfId="8" priority="1" stopIfTrue="1" operator="equal">
      <formula>"Excelente"</formula>
    </cfRule>
    <cfRule type="cellIs" dxfId="7" priority="2" stopIfTrue="1" operator="equal">
      <formula>"Bom"</formula>
    </cfRule>
    <cfRule type="cellIs" dxfId="6" priority="3" stopIfTrue="1" operator="equal">
      <formula>"Regular"</formula>
    </cfRule>
    <cfRule type="cellIs" dxfId="5" priority="4" stopIfTrue="1" operator="equal">
      <formula>"Ruim"</formula>
    </cfRule>
  </conditionalFormatting>
  <dataValidations count="1">
    <dataValidation type="list" allowBlank="1" showInputMessage="1" showErrorMessage="1" sqref="C5:C100" xr:uid="{C04C0D0D-2092-4470-A6B2-D6A492004570}">
      <formula1>"Ativo,Pausado,Pendente,Descartado"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8CF70-FC9A-44EB-B55A-DC96CD0B018D}">
  <dimension ref="B2:F9"/>
  <sheetViews>
    <sheetView workbookViewId="0"/>
  </sheetViews>
  <sheetFormatPr defaultRowHeight="15" x14ac:dyDescent="0.25"/>
  <cols>
    <col min="2" max="2" width="27.7109375" bestFit="1" customWidth="1"/>
    <col min="3" max="3" width="14.85546875" bestFit="1" customWidth="1"/>
    <col min="4" max="4" width="15.28515625" bestFit="1" customWidth="1"/>
    <col min="5" max="5" width="18.140625" bestFit="1" customWidth="1"/>
    <col min="6" max="6" width="55.7109375" customWidth="1"/>
  </cols>
  <sheetData>
    <row r="2" spans="2:6" ht="35.1" customHeight="1" x14ac:dyDescent="0.25">
      <c r="B2" s="1" t="s">
        <v>79</v>
      </c>
      <c r="C2" s="1"/>
      <c r="D2" s="1"/>
      <c r="E2" s="1"/>
      <c r="F2" s="1"/>
    </row>
    <row r="4" spans="2:6" ht="26.1" customHeight="1" x14ac:dyDescent="0.25">
      <c r="B4" s="4" t="s">
        <v>80</v>
      </c>
      <c r="C4" s="4" t="s">
        <v>81</v>
      </c>
      <c r="D4" s="4" t="s">
        <v>82</v>
      </c>
      <c r="E4" s="4" t="s">
        <v>83</v>
      </c>
      <c r="F4" s="4" t="s">
        <v>84</v>
      </c>
    </row>
    <row r="5" spans="2:6" ht="16.5" x14ac:dyDescent="0.3">
      <c r="B5" s="19" t="s">
        <v>85</v>
      </c>
      <c r="C5" s="37">
        <f>SUM('Controle Diario'!C:C)</f>
        <v>94300</v>
      </c>
      <c r="D5" s="38">
        <v>1</v>
      </c>
      <c r="E5" s="38">
        <v>1</v>
      </c>
      <c r="F5" s="8" t="s">
        <v>90</v>
      </c>
    </row>
    <row r="6" spans="2:6" ht="16.5" x14ac:dyDescent="0.3">
      <c r="B6" s="20" t="s">
        <v>86</v>
      </c>
      <c r="C6" s="37" t="e">
        <f>SUM('Controle Diario'!E)</f>
        <v>#NAME?</v>
      </c>
      <c r="D6" s="38" t="e">
        <f>IF(C5&gt;0, C6/C5, 0)</f>
        <v>#NAME?</v>
      </c>
      <c r="E6" s="38" t="e">
        <f>IF(C5&gt;0, C6/C5, 0)</f>
        <v>#NAME?</v>
      </c>
      <c r="F6" s="8" t="e">
        <f>IF(D6&lt;0.01, _xlfn.UNICHAR(128992) &amp; " Criativo (CTR &lt; 1% indica baixa atratividade)", _xlfn.UNICHAR(128994) &amp; " CTR saudavel nos criativos")</f>
        <v>#NAME?</v>
      </c>
    </row>
    <row r="7" spans="2:6" ht="16.5" x14ac:dyDescent="0.3">
      <c r="B7" s="19" t="s">
        <v>87</v>
      </c>
      <c r="C7" s="37" t="e">
        <f>SUM('Controle Diario'!F)</f>
        <v>#NAME?</v>
      </c>
      <c r="D7" s="38" t="e">
        <f>IF(C6&gt;0, C7/C6, 0)</f>
        <v>#NAME?</v>
      </c>
      <c r="E7" s="38" t="e">
        <f>IF(C5&gt;0, C7/C5, 0)</f>
        <v>#NAME?</v>
      </c>
      <c r="F7" s="8" t="e">
        <f>IF(D7&lt;0.7, _xlfn.UNICHAR(128992) &amp; " Carregamento (Queda &gt; 30% - verifique velocidade)", _xlfn.UNICHAR(128994) &amp; " Carregamento saudavel")</f>
        <v>#NAME?</v>
      </c>
    </row>
    <row r="8" spans="2:6" ht="16.5" x14ac:dyDescent="0.3">
      <c r="B8" s="20" t="s">
        <v>88</v>
      </c>
      <c r="C8" s="37" t="e">
        <f>SUM('Controle Diario'!G)</f>
        <v>#NAME?</v>
      </c>
      <c r="D8" s="38" t="e">
        <f>IF(C7&gt;0, C8/C7, 0)</f>
        <v>#NAME?</v>
      </c>
      <c r="E8" s="38" t="e">
        <f>IF(C5&gt;0, C8/C5, 0)</f>
        <v>#NAME?</v>
      </c>
      <c r="F8" s="8" t="e">
        <f>IF(D8&lt;0.05, _xlfn.UNICHAR(128992) &amp; " Landing Page (conversao para checkout &lt; 5%)", _xlfn.UNICHAR(128994) &amp; " Landing Page saudavel")</f>
        <v>#NAME?</v>
      </c>
    </row>
    <row r="9" spans="2:6" ht="16.5" x14ac:dyDescent="0.3">
      <c r="B9" s="19" t="s">
        <v>89</v>
      </c>
      <c r="C9" s="37" t="e">
        <f>SUM('Controle Diario'!H)</f>
        <v>#NAME?</v>
      </c>
      <c r="D9" s="38" t="e">
        <f>IF(C8&gt;0, C9/C8, 0)</f>
        <v>#NAME?</v>
      </c>
      <c r="E9" s="38" t="e">
        <f>IF(C5&gt;0, C9/C5, 0)</f>
        <v>#NAME?</v>
      </c>
      <c r="F9" s="8" t="e">
        <f>IF(D9&lt;0.05, _xlfn.UNICHAR(128992) &amp; " Checkout/Oferta (conversao checkout &lt; 5%)", _xlfn.UNICHAR(128994) &amp; " Checkout/Oferta saudavel")</f>
        <v>#NAME?</v>
      </c>
    </row>
  </sheetData>
  <mergeCells count="1">
    <mergeCell ref="B2:F2"/>
  </mergeCells>
  <conditionalFormatting sqref="F6:F9">
    <cfRule type="expression" dxfId="4" priority="1" stopIfTrue="1">
      <formula>LEFT(F6,1)=CARACT.UNICODE(128992)</formula>
    </cfRule>
    <cfRule type="expression" dxfId="3" priority="2" stopIfTrue="1">
      <formula>LEFT(F6,1)=CARACT.UNICODE(128994)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E19D-0053-4B8D-B3E8-455F3B9E2FB4}">
  <dimension ref="A2:H100"/>
  <sheetViews>
    <sheetView tabSelected="1" workbookViewId="0">
      <pane ySplit="4" topLeftCell="A5" activePane="bottomLeft" state="frozenSplit"/>
      <selection pane="bottomLeft"/>
    </sheetView>
  </sheetViews>
  <sheetFormatPr defaultRowHeight="15" x14ac:dyDescent="0.25"/>
  <cols>
    <col min="1" max="1" width="11.85546875" bestFit="1" customWidth="1"/>
    <col min="2" max="2" width="22.42578125" bestFit="1" customWidth="1"/>
    <col min="3" max="3" width="26.42578125" bestFit="1" customWidth="1"/>
    <col min="4" max="4" width="23.28515625" bestFit="1" customWidth="1"/>
    <col min="5" max="5" width="26.42578125" bestFit="1" customWidth="1"/>
    <col min="6" max="6" width="26.5703125" bestFit="1" customWidth="1"/>
    <col min="7" max="7" width="28.5703125" bestFit="1" customWidth="1"/>
    <col min="8" max="8" width="31" bestFit="1" customWidth="1"/>
  </cols>
  <sheetData>
    <row r="2" spans="1:8" ht="35.1" customHeight="1" x14ac:dyDescent="0.25">
      <c r="A2" s="1" t="s">
        <v>91</v>
      </c>
      <c r="B2" s="1"/>
      <c r="C2" s="1"/>
      <c r="D2" s="1"/>
      <c r="E2" s="1"/>
      <c r="F2" s="1"/>
      <c r="G2" s="1"/>
      <c r="H2" s="1"/>
    </row>
    <row r="4" spans="1:8" ht="26.1" customHeight="1" x14ac:dyDescent="0.25">
      <c r="A4" s="4" t="s">
        <v>1</v>
      </c>
      <c r="B4" s="4" t="s">
        <v>38</v>
      </c>
      <c r="C4" s="4" t="s">
        <v>92</v>
      </c>
      <c r="D4" s="4" t="s">
        <v>93</v>
      </c>
      <c r="E4" s="4" t="s">
        <v>94</v>
      </c>
      <c r="F4" s="4" t="s">
        <v>95</v>
      </c>
      <c r="G4" s="4" t="s">
        <v>96</v>
      </c>
      <c r="H4" s="4" t="s">
        <v>16</v>
      </c>
    </row>
    <row r="5" spans="1:8" ht="16.5" x14ac:dyDescent="0.3">
      <c r="A5" s="11">
        <v>46362</v>
      </c>
      <c r="B5" s="16" t="s">
        <v>44</v>
      </c>
      <c r="C5" s="6">
        <v>50</v>
      </c>
      <c r="D5" s="6">
        <v>75</v>
      </c>
      <c r="E5" s="38">
        <f>IF(A5="","",IF(C5&gt;0, (D5-C5)/C5, 0))</f>
        <v>0.5</v>
      </c>
      <c r="F5" s="8" t="s">
        <v>97</v>
      </c>
      <c r="G5" s="17" t="s">
        <v>98</v>
      </c>
      <c r="H5" s="8" t="s">
        <v>99</v>
      </c>
    </row>
    <row r="6" spans="1:8" ht="16.5" x14ac:dyDescent="0.3">
      <c r="A6" s="12" t="s">
        <v>24</v>
      </c>
      <c r="B6" s="16" t="s">
        <v>44</v>
      </c>
      <c r="C6" s="6">
        <v>75</v>
      </c>
      <c r="D6" s="6">
        <v>100</v>
      </c>
      <c r="E6" s="38">
        <f>IF(A6="","",IF(C6&gt;0, (D6-C6)/C6, 0))</f>
        <v>0.33333333333333331</v>
      </c>
      <c r="F6" s="8" t="s">
        <v>97</v>
      </c>
      <c r="G6" s="17" t="s">
        <v>98</v>
      </c>
      <c r="H6" s="8" t="s">
        <v>100</v>
      </c>
    </row>
    <row r="7" spans="1:8" ht="16.5" x14ac:dyDescent="0.3">
      <c r="A7" s="11" t="s">
        <v>30</v>
      </c>
      <c r="B7" s="16" t="s">
        <v>44</v>
      </c>
      <c r="C7" s="6">
        <v>100</v>
      </c>
      <c r="D7" s="6">
        <v>120</v>
      </c>
      <c r="E7" s="38">
        <f>IF(A7="","",IF(C7&gt;0, (D7-C7)/C7, 0))</f>
        <v>0.2</v>
      </c>
      <c r="F7" s="8" t="s">
        <v>101</v>
      </c>
      <c r="G7" s="17" t="s">
        <v>102</v>
      </c>
      <c r="H7" s="8" t="s">
        <v>103</v>
      </c>
    </row>
    <row r="8" spans="1:8" ht="16.5" x14ac:dyDescent="0.3">
      <c r="A8" s="12"/>
      <c r="B8" s="8"/>
      <c r="C8" s="6"/>
      <c r="D8" s="6"/>
      <c r="E8" s="38" t="str">
        <f>IF(A8="","",IF(C8&gt;0, (D8-C8)/C8, 0))</f>
        <v/>
      </c>
      <c r="F8" s="8"/>
      <c r="G8" s="17"/>
      <c r="H8" s="8"/>
    </row>
    <row r="9" spans="1:8" ht="16.5" x14ac:dyDescent="0.3">
      <c r="A9" s="11"/>
      <c r="B9" s="8"/>
      <c r="C9" s="6"/>
      <c r="D9" s="6"/>
      <c r="E9" s="38" t="str">
        <f>IF(A9="","",IF(C9&gt;0, (D9-C9)/C9, 0))</f>
        <v/>
      </c>
      <c r="F9" s="8"/>
      <c r="G9" s="17"/>
      <c r="H9" s="8"/>
    </row>
    <row r="10" spans="1:8" ht="16.5" x14ac:dyDescent="0.3">
      <c r="A10" s="12"/>
      <c r="B10" s="8"/>
      <c r="C10" s="6"/>
      <c r="D10" s="6"/>
      <c r="E10" s="38" t="str">
        <f>IF(A10="","",IF(C10&gt;0, (D10-C10)/C10, 0))</f>
        <v/>
      </c>
      <c r="F10" s="8"/>
      <c r="G10" s="17"/>
      <c r="H10" s="8"/>
    </row>
    <row r="11" spans="1:8" ht="16.5" x14ac:dyDescent="0.3">
      <c r="A11" s="11"/>
      <c r="B11" s="8"/>
      <c r="C11" s="6"/>
      <c r="D11" s="6"/>
      <c r="E11" s="38" t="str">
        <f>IF(A11="","",IF(C11&gt;0, (D11-C11)/C11, 0))</f>
        <v/>
      </c>
      <c r="F11" s="8"/>
      <c r="G11" s="17"/>
      <c r="H11" s="8"/>
    </row>
    <row r="12" spans="1:8" ht="16.5" x14ac:dyDescent="0.3">
      <c r="A12" s="12"/>
      <c r="B12" s="8"/>
      <c r="C12" s="6"/>
      <c r="D12" s="6"/>
      <c r="E12" s="38" t="str">
        <f>IF(A12="","",IF(C12&gt;0, (D12-C12)/C12, 0))</f>
        <v/>
      </c>
      <c r="F12" s="8"/>
      <c r="G12" s="17"/>
      <c r="H12" s="8"/>
    </row>
    <row r="13" spans="1:8" ht="16.5" x14ac:dyDescent="0.3">
      <c r="A13" s="11"/>
      <c r="B13" s="8"/>
      <c r="C13" s="6"/>
      <c r="D13" s="6"/>
      <c r="E13" s="38" t="str">
        <f>IF(A13="","",IF(C13&gt;0, (D13-C13)/C13, 0))</f>
        <v/>
      </c>
      <c r="F13" s="8"/>
      <c r="G13" s="17"/>
      <c r="H13" s="8"/>
    </row>
    <row r="14" spans="1:8" ht="16.5" x14ac:dyDescent="0.3">
      <c r="A14" s="12"/>
      <c r="B14" s="8"/>
      <c r="C14" s="6"/>
      <c r="D14" s="6"/>
      <c r="E14" s="38" t="str">
        <f>IF(A14="","",IF(C14&gt;0, (D14-C14)/C14, 0))</f>
        <v/>
      </c>
      <c r="F14" s="8"/>
      <c r="G14" s="17"/>
      <c r="H14" s="8"/>
    </row>
    <row r="15" spans="1:8" ht="16.5" x14ac:dyDescent="0.3">
      <c r="A15" s="11"/>
      <c r="B15" s="8"/>
      <c r="C15" s="6"/>
      <c r="D15" s="6"/>
      <c r="E15" s="38" t="str">
        <f>IF(A15="","",IF(C15&gt;0, (D15-C15)/C15, 0))</f>
        <v/>
      </c>
      <c r="F15" s="8"/>
      <c r="G15" s="17"/>
      <c r="H15" s="8"/>
    </row>
    <row r="16" spans="1:8" ht="16.5" x14ac:dyDescent="0.3">
      <c r="A16" s="12"/>
      <c r="B16" s="8"/>
      <c r="C16" s="6"/>
      <c r="D16" s="6"/>
      <c r="E16" s="38" t="str">
        <f>IF(A16="","",IF(C16&gt;0, (D16-C16)/C16, 0))</f>
        <v/>
      </c>
      <c r="F16" s="8"/>
      <c r="G16" s="17"/>
      <c r="H16" s="8"/>
    </row>
    <row r="17" spans="1:8" ht="16.5" x14ac:dyDescent="0.3">
      <c r="A17" s="11"/>
      <c r="B17" s="8"/>
      <c r="C17" s="6"/>
      <c r="D17" s="6"/>
      <c r="E17" s="38" t="str">
        <f>IF(A17="","",IF(C17&gt;0, (D17-C17)/C17, 0))</f>
        <v/>
      </c>
      <c r="F17" s="8"/>
      <c r="G17" s="17"/>
      <c r="H17" s="8"/>
    </row>
    <row r="18" spans="1:8" ht="16.5" x14ac:dyDescent="0.3">
      <c r="A18" s="12"/>
      <c r="B18" s="8"/>
      <c r="C18" s="6"/>
      <c r="D18" s="6"/>
      <c r="E18" s="38" t="str">
        <f>IF(A18="","",IF(C18&gt;0, (D18-C18)/C18, 0))</f>
        <v/>
      </c>
      <c r="F18" s="8"/>
      <c r="G18" s="17"/>
      <c r="H18" s="8"/>
    </row>
    <row r="19" spans="1:8" ht="16.5" x14ac:dyDescent="0.3">
      <c r="A19" s="11"/>
      <c r="B19" s="8"/>
      <c r="C19" s="6"/>
      <c r="D19" s="6"/>
      <c r="E19" s="38" t="str">
        <f>IF(A19="","",IF(C19&gt;0, (D19-C19)/C19, 0))</f>
        <v/>
      </c>
      <c r="F19" s="8"/>
      <c r="G19" s="17"/>
      <c r="H19" s="8"/>
    </row>
    <row r="20" spans="1:8" ht="16.5" x14ac:dyDescent="0.3">
      <c r="A20" s="12"/>
      <c r="B20" s="8"/>
      <c r="C20" s="6"/>
      <c r="D20" s="6"/>
      <c r="E20" s="38" t="str">
        <f>IF(A20="","",IF(C20&gt;0, (D20-C20)/C20, 0))</f>
        <v/>
      </c>
      <c r="F20" s="8"/>
      <c r="G20" s="17"/>
      <c r="H20" s="8"/>
    </row>
    <row r="21" spans="1:8" ht="16.5" x14ac:dyDescent="0.3">
      <c r="A21" s="11"/>
      <c r="B21" s="8"/>
      <c r="C21" s="6"/>
      <c r="D21" s="6"/>
      <c r="E21" s="38" t="str">
        <f>IF(A21="","",IF(C21&gt;0, (D21-C21)/C21, 0))</f>
        <v/>
      </c>
      <c r="F21" s="8"/>
      <c r="G21" s="17"/>
      <c r="H21" s="8"/>
    </row>
    <row r="22" spans="1:8" ht="16.5" x14ac:dyDescent="0.3">
      <c r="A22" s="12"/>
      <c r="B22" s="8"/>
      <c r="C22" s="6"/>
      <c r="D22" s="6"/>
      <c r="E22" s="38" t="str">
        <f>IF(A22="","",IF(C22&gt;0, (D22-C22)/C22, 0))</f>
        <v/>
      </c>
      <c r="F22" s="8"/>
      <c r="G22" s="17"/>
      <c r="H22" s="8"/>
    </row>
    <row r="23" spans="1:8" ht="16.5" x14ac:dyDescent="0.3">
      <c r="A23" s="11"/>
      <c r="B23" s="8"/>
      <c r="C23" s="6"/>
      <c r="D23" s="6"/>
      <c r="E23" s="38" t="str">
        <f>IF(A23="","",IF(C23&gt;0, (D23-C23)/C23, 0))</f>
        <v/>
      </c>
      <c r="F23" s="8"/>
      <c r="G23" s="17"/>
      <c r="H23" s="8"/>
    </row>
    <row r="24" spans="1:8" ht="16.5" x14ac:dyDescent="0.3">
      <c r="A24" s="12"/>
      <c r="B24" s="8"/>
      <c r="C24" s="6"/>
      <c r="D24" s="6"/>
      <c r="E24" s="38" t="str">
        <f>IF(A24="","",IF(C24&gt;0, (D24-C24)/C24, 0))</f>
        <v/>
      </c>
      <c r="F24" s="8"/>
      <c r="G24" s="17"/>
      <c r="H24" s="8"/>
    </row>
    <row r="25" spans="1:8" ht="16.5" x14ac:dyDescent="0.3">
      <c r="A25" s="11"/>
      <c r="B25" s="8"/>
      <c r="C25" s="6"/>
      <c r="D25" s="6"/>
      <c r="E25" s="38" t="str">
        <f>IF(A25="","",IF(C25&gt;0, (D25-C25)/C25, 0))</f>
        <v/>
      </c>
      <c r="F25" s="8"/>
      <c r="G25" s="17"/>
      <c r="H25" s="8"/>
    </row>
    <row r="26" spans="1:8" ht="16.5" x14ac:dyDescent="0.3">
      <c r="A26" s="12"/>
      <c r="B26" s="8"/>
      <c r="C26" s="6"/>
      <c r="D26" s="6"/>
      <c r="E26" s="38" t="str">
        <f>IF(A26="","",IF(C26&gt;0, (D26-C26)/C26, 0))</f>
        <v/>
      </c>
      <c r="F26" s="8"/>
      <c r="G26" s="17"/>
      <c r="H26" s="8"/>
    </row>
    <row r="27" spans="1:8" ht="16.5" x14ac:dyDescent="0.3">
      <c r="A27" s="11"/>
      <c r="B27" s="8"/>
      <c r="C27" s="6"/>
      <c r="D27" s="6"/>
      <c r="E27" s="38" t="str">
        <f>IF(A27="","",IF(C27&gt;0, (D27-C27)/C27, 0))</f>
        <v/>
      </c>
      <c r="F27" s="8"/>
      <c r="G27" s="17"/>
      <c r="H27" s="8"/>
    </row>
    <row r="28" spans="1:8" ht="16.5" x14ac:dyDescent="0.3">
      <c r="A28" s="12"/>
      <c r="B28" s="8"/>
      <c r="C28" s="6"/>
      <c r="D28" s="6"/>
      <c r="E28" s="38" t="str">
        <f>IF(A28="","",IF(C28&gt;0, (D28-C28)/C28, 0))</f>
        <v/>
      </c>
      <c r="F28" s="8"/>
      <c r="G28" s="17"/>
      <c r="H28" s="8"/>
    </row>
    <row r="29" spans="1:8" ht="16.5" x14ac:dyDescent="0.3">
      <c r="A29" s="11"/>
      <c r="B29" s="8"/>
      <c r="C29" s="6"/>
      <c r="D29" s="6"/>
      <c r="E29" s="38" t="str">
        <f>IF(A29="","",IF(C29&gt;0, (D29-C29)/C29, 0))</f>
        <v/>
      </c>
      <c r="F29" s="8"/>
      <c r="G29" s="17"/>
      <c r="H29" s="8"/>
    </row>
    <row r="30" spans="1:8" ht="16.5" x14ac:dyDescent="0.3">
      <c r="A30" s="12"/>
      <c r="B30" s="8"/>
      <c r="C30" s="6"/>
      <c r="D30" s="6"/>
      <c r="E30" s="38" t="str">
        <f>IF(A30="","",IF(C30&gt;0, (D30-C30)/C30, 0))</f>
        <v/>
      </c>
      <c r="F30" s="8"/>
      <c r="G30" s="17"/>
      <c r="H30" s="8"/>
    </row>
    <row r="31" spans="1:8" ht="16.5" x14ac:dyDescent="0.3">
      <c r="A31" s="11"/>
      <c r="B31" s="8"/>
      <c r="C31" s="6"/>
      <c r="D31" s="6"/>
      <c r="E31" s="38" t="str">
        <f>IF(A31="","",IF(C31&gt;0, (D31-C31)/C31, 0))</f>
        <v/>
      </c>
      <c r="F31" s="8"/>
      <c r="G31" s="17"/>
      <c r="H31" s="8"/>
    </row>
    <row r="32" spans="1:8" ht="16.5" x14ac:dyDescent="0.3">
      <c r="A32" s="12"/>
      <c r="B32" s="8"/>
      <c r="C32" s="6"/>
      <c r="D32" s="6"/>
      <c r="E32" s="38" t="str">
        <f>IF(A32="","",IF(C32&gt;0, (D32-C32)/C32, 0))</f>
        <v/>
      </c>
      <c r="F32" s="8"/>
      <c r="G32" s="17"/>
      <c r="H32" s="8"/>
    </row>
    <row r="33" spans="1:8" ht="16.5" x14ac:dyDescent="0.3">
      <c r="A33" s="11"/>
      <c r="B33" s="8"/>
      <c r="C33" s="6"/>
      <c r="D33" s="6"/>
      <c r="E33" s="38" t="str">
        <f>IF(A33="","",IF(C33&gt;0, (D33-C33)/C33, 0))</f>
        <v/>
      </c>
      <c r="F33" s="8"/>
      <c r="G33" s="17"/>
      <c r="H33" s="8"/>
    </row>
    <row r="34" spans="1:8" ht="16.5" x14ac:dyDescent="0.3">
      <c r="A34" s="12"/>
      <c r="B34" s="8"/>
      <c r="C34" s="6"/>
      <c r="D34" s="6"/>
      <c r="E34" s="38" t="str">
        <f>IF(A34="","",IF(C34&gt;0, (D34-C34)/C34, 0))</f>
        <v/>
      </c>
      <c r="F34" s="8"/>
      <c r="G34" s="17"/>
      <c r="H34" s="8"/>
    </row>
    <row r="35" spans="1:8" ht="16.5" x14ac:dyDescent="0.3">
      <c r="A35" s="11"/>
      <c r="B35" s="8"/>
      <c r="C35" s="6"/>
      <c r="D35" s="6"/>
      <c r="E35" s="38" t="str">
        <f>IF(A35="","",IF(C35&gt;0, (D35-C35)/C35, 0))</f>
        <v/>
      </c>
      <c r="F35" s="8"/>
      <c r="G35" s="17"/>
      <c r="H35" s="8"/>
    </row>
    <row r="36" spans="1:8" ht="16.5" x14ac:dyDescent="0.3">
      <c r="A36" s="12"/>
      <c r="B36" s="8"/>
      <c r="C36" s="6"/>
      <c r="D36" s="6"/>
      <c r="E36" s="38" t="str">
        <f>IF(A36="","",IF(C36&gt;0, (D36-C36)/C36, 0))</f>
        <v/>
      </c>
      <c r="F36" s="8"/>
      <c r="G36" s="17"/>
      <c r="H36" s="8"/>
    </row>
    <row r="37" spans="1:8" ht="16.5" x14ac:dyDescent="0.3">
      <c r="A37" s="11"/>
      <c r="B37" s="8"/>
      <c r="C37" s="6"/>
      <c r="D37" s="6"/>
      <c r="E37" s="38" t="str">
        <f>IF(A37="","",IF(C37&gt;0, (D37-C37)/C37, 0))</f>
        <v/>
      </c>
      <c r="F37" s="8"/>
      <c r="G37" s="17"/>
      <c r="H37" s="8"/>
    </row>
    <row r="38" spans="1:8" ht="16.5" x14ac:dyDescent="0.3">
      <c r="A38" s="12"/>
      <c r="B38" s="8"/>
      <c r="C38" s="6"/>
      <c r="D38" s="6"/>
      <c r="E38" s="38" t="str">
        <f>IF(A38="","",IF(C38&gt;0, (D38-C38)/C38, 0))</f>
        <v/>
      </c>
      <c r="F38" s="8"/>
      <c r="G38" s="17"/>
      <c r="H38" s="8"/>
    </row>
    <row r="39" spans="1:8" ht="16.5" x14ac:dyDescent="0.3">
      <c r="A39" s="11"/>
      <c r="B39" s="8"/>
      <c r="C39" s="6"/>
      <c r="D39" s="6"/>
      <c r="E39" s="38" t="str">
        <f>IF(A39="","",IF(C39&gt;0, (D39-C39)/C39, 0))</f>
        <v/>
      </c>
      <c r="F39" s="8"/>
      <c r="G39" s="17"/>
      <c r="H39" s="8"/>
    </row>
    <row r="40" spans="1:8" ht="16.5" x14ac:dyDescent="0.3">
      <c r="A40" s="12"/>
      <c r="B40" s="8"/>
      <c r="C40" s="6"/>
      <c r="D40" s="6"/>
      <c r="E40" s="38" t="str">
        <f>IF(A40="","",IF(C40&gt;0, (D40-C40)/C40, 0))</f>
        <v/>
      </c>
      <c r="F40" s="8"/>
      <c r="G40" s="17"/>
      <c r="H40" s="8"/>
    </row>
    <row r="41" spans="1:8" ht="16.5" x14ac:dyDescent="0.3">
      <c r="A41" s="11"/>
      <c r="B41" s="8"/>
      <c r="C41" s="6"/>
      <c r="D41" s="6"/>
      <c r="E41" s="38" t="str">
        <f>IF(A41="","",IF(C41&gt;0, (D41-C41)/C41, 0))</f>
        <v/>
      </c>
      <c r="F41" s="8"/>
      <c r="G41" s="17"/>
      <c r="H41" s="8"/>
    </row>
    <row r="42" spans="1:8" ht="16.5" x14ac:dyDescent="0.3">
      <c r="A42" s="12"/>
      <c r="B42" s="8"/>
      <c r="C42" s="6"/>
      <c r="D42" s="6"/>
      <c r="E42" s="38" t="str">
        <f>IF(A42="","",IF(C42&gt;0, (D42-C42)/C42, 0))</f>
        <v/>
      </c>
      <c r="F42" s="8"/>
      <c r="G42" s="17"/>
      <c r="H42" s="8"/>
    </row>
    <row r="43" spans="1:8" ht="16.5" x14ac:dyDescent="0.3">
      <c r="A43" s="11"/>
      <c r="B43" s="8"/>
      <c r="C43" s="6"/>
      <c r="D43" s="6"/>
      <c r="E43" s="38" t="str">
        <f>IF(A43="","",IF(C43&gt;0, (D43-C43)/C43, 0))</f>
        <v/>
      </c>
      <c r="F43" s="8"/>
      <c r="G43" s="17"/>
      <c r="H43" s="8"/>
    </row>
    <row r="44" spans="1:8" ht="16.5" x14ac:dyDescent="0.3">
      <c r="A44" s="12"/>
      <c r="B44" s="8"/>
      <c r="C44" s="6"/>
      <c r="D44" s="6"/>
      <c r="E44" s="38" t="str">
        <f>IF(A44="","",IF(C44&gt;0, (D44-C44)/C44, 0))</f>
        <v/>
      </c>
      <c r="F44" s="8"/>
      <c r="G44" s="17"/>
      <c r="H44" s="8"/>
    </row>
    <row r="45" spans="1:8" ht="16.5" x14ac:dyDescent="0.3">
      <c r="A45" s="11"/>
      <c r="B45" s="8"/>
      <c r="C45" s="6"/>
      <c r="D45" s="6"/>
      <c r="E45" s="38" t="str">
        <f>IF(A45="","",IF(C45&gt;0, (D45-C45)/C45, 0))</f>
        <v/>
      </c>
      <c r="F45" s="8"/>
      <c r="G45" s="17"/>
      <c r="H45" s="8"/>
    </row>
    <row r="46" spans="1:8" ht="16.5" x14ac:dyDescent="0.3">
      <c r="A46" s="12"/>
      <c r="B46" s="8"/>
      <c r="C46" s="6"/>
      <c r="D46" s="6"/>
      <c r="E46" s="38" t="str">
        <f>IF(A46="","",IF(C46&gt;0, (D46-C46)/C46, 0))</f>
        <v/>
      </c>
      <c r="F46" s="8"/>
      <c r="G46" s="17"/>
      <c r="H46" s="8"/>
    </row>
    <row r="47" spans="1:8" ht="16.5" x14ac:dyDescent="0.3">
      <c r="A47" s="11"/>
      <c r="B47" s="8"/>
      <c r="C47" s="6"/>
      <c r="D47" s="6"/>
      <c r="E47" s="38" t="str">
        <f>IF(A47="","",IF(C47&gt;0, (D47-C47)/C47, 0))</f>
        <v/>
      </c>
      <c r="F47" s="8"/>
      <c r="G47" s="17"/>
      <c r="H47" s="8"/>
    </row>
    <row r="48" spans="1:8" ht="16.5" x14ac:dyDescent="0.3">
      <c r="A48" s="12"/>
      <c r="B48" s="8"/>
      <c r="C48" s="6"/>
      <c r="D48" s="6"/>
      <c r="E48" s="38" t="str">
        <f>IF(A48="","",IF(C48&gt;0, (D48-C48)/C48, 0))</f>
        <v/>
      </c>
      <c r="F48" s="8"/>
      <c r="G48" s="17"/>
      <c r="H48" s="8"/>
    </row>
    <row r="49" spans="1:8" ht="16.5" x14ac:dyDescent="0.3">
      <c r="A49" s="11"/>
      <c r="B49" s="8"/>
      <c r="C49" s="6"/>
      <c r="D49" s="6"/>
      <c r="E49" s="38" t="str">
        <f>IF(A49="","",IF(C49&gt;0, (D49-C49)/C49, 0))</f>
        <v/>
      </c>
      <c r="F49" s="8"/>
      <c r="G49" s="17"/>
      <c r="H49" s="8"/>
    </row>
    <row r="50" spans="1:8" ht="16.5" x14ac:dyDescent="0.3">
      <c r="A50" s="12"/>
      <c r="B50" s="8"/>
      <c r="C50" s="6"/>
      <c r="D50" s="6"/>
      <c r="E50" s="38" t="str">
        <f>IF(A50="","",IF(C50&gt;0, (D50-C50)/C50, 0))</f>
        <v/>
      </c>
      <c r="F50" s="8"/>
      <c r="G50" s="17"/>
      <c r="H50" s="8"/>
    </row>
    <row r="51" spans="1:8" ht="16.5" x14ac:dyDescent="0.3">
      <c r="A51" s="11"/>
      <c r="B51" s="8"/>
      <c r="C51" s="6"/>
      <c r="D51" s="6"/>
      <c r="E51" s="38" t="str">
        <f>IF(A51="","",IF(C51&gt;0, (D51-C51)/C51, 0))</f>
        <v/>
      </c>
      <c r="F51" s="8"/>
      <c r="G51" s="17"/>
      <c r="H51" s="8"/>
    </row>
    <row r="52" spans="1:8" ht="16.5" x14ac:dyDescent="0.3">
      <c r="A52" s="12"/>
      <c r="B52" s="8"/>
      <c r="C52" s="6"/>
      <c r="D52" s="6"/>
      <c r="E52" s="38" t="str">
        <f>IF(A52="","",IF(C52&gt;0, (D52-C52)/C52, 0))</f>
        <v/>
      </c>
      <c r="F52" s="8"/>
      <c r="G52" s="17"/>
      <c r="H52" s="8"/>
    </row>
    <row r="53" spans="1:8" ht="16.5" x14ac:dyDescent="0.3">
      <c r="A53" s="11"/>
      <c r="B53" s="8"/>
      <c r="C53" s="6"/>
      <c r="D53" s="6"/>
      <c r="E53" s="38" t="str">
        <f>IF(A53="","",IF(C53&gt;0, (D53-C53)/C53, 0))</f>
        <v/>
      </c>
      <c r="F53" s="8"/>
      <c r="G53" s="17"/>
      <c r="H53" s="8"/>
    </row>
    <row r="54" spans="1:8" ht="16.5" x14ac:dyDescent="0.3">
      <c r="A54" s="12"/>
      <c r="B54" s="8"/>
      <c r="C54" s="6"/>
      <c r="D54" s="6"/>
      <c r="E54" s="38" t="str">
        <f>IF(A54="","",IF(C54&gt;0, (D54-C54)/C54, 0))</f>
        <v/>
      </c>
      <c r="F54" s="8"/>
      <c r="G54" s="17"/>
      <c r="H54" s="8"/>
    </row>
    <row r="55" spans="1:8" ht="16.5" x14ac:dyDescent="0.3">
      <c r="A55" s="11"/>
      <c r="B55" s="8"/>
      <c r="C55" s="6"/>
      <c r="D55" s="6"/>
      <c r="E55" s="38" t="str">
        <f>IF(A55="","",IF(C55&gt;0, (D55-C55)/C55, 0))</f>
        <v/>
      </c>
      <c r="F55" s="8"/>
      <c r="G55" s="17"/>
      <c r="H55" s="8"/>
    </row>
    <row r="56" spans="1:8" ht="16.5" x14ac:dyDescent="0.3">
      <c r="A56" s="12"/>
      <c r="B56" s="8"/>
      <c r="C56" s="6"/>
      <c r="D56" s="6"/>
      <c r="E56" s="38" t="str">
        <f>IF(A56="","",IF(C56&gt;0, (D56-C56)/C56, 0))</f>
        <v/>
      </c>
      <c r="F56" s="8"/>
      <c r="G56" s="17"/>
      <c r="H56" s="8"/>
    </row>
    <row r="57" spans="1:8" ht="16.5" x14ac:dyDescent="0.3">
      <c r="A57" s="11"/>
      <c r="B57" s="8"/>
      <c r="C57" s="6"/>
      <c r="D57" s="6"/>
      <c r="E57" s="38" t="str">
        <f>IF(A57="","",IF(C57&gt;0, (D57-C57)/C57, 0))</f>
        <v/>
      </c>
      <c r="F57" s="8"/>
      <c r="G57" s="17"/>
      <c r="H57" s="8"/>
    </row>
    <row r="58" spans="1:8" ht="16.5" x14ac:dyDescent="0.3">
      <c r="A58" s="12"/>
      <c r="B58" s="8"/>
      <c r="C58" s="6"/>
      <c r="D58" s="6"/>
      <c r="E58" s="38" t="str">
        <f>IF(A58="","",IF(C58&gt;0, (D58-C58)/C58, 0))</f>
        <v/>
      </c>
      <c r="F58" s="8"/>
      <c r="G58" s="17"/>
      <c r="H58" s="8"/>
    </row>
    <row r="59" spans="1:8" ht="16.5" x14ac:dyDescent="0.3">
      <c r="A59" s="11"/>
      <c r="B59" s="8"/>
      <c r="C59" s="6"/>
      <c r="D59" s="6"/>
      <c r="E59" s="38" t="str">
        <f>IF(A59="","",IF(C59&gt;0, (D59-C59)/C59, 0))</f>
        <v/>
      </c>
      <c r="F59" s="8"/>
      <c r="G59" s="17"/>
      <c r="H59" s="8"/>
    </row>
    <row r="60" spans="1:8" ht="16.5" x14ac:dyDescent="0.3">
      <c r="A60" s="12"/>
      <c r="B60" s="8"/>
      <c r="C60" s="6"/>
      <c r="D60" s="6"/>
      <c r="E60" s="38" t="str">
        <f>IF(A60="","",IF(C60&gt;0, (D60-C60)/C60, 0))</f>
        <v/>
      </c>
      <c r="F60" s="8"/>
      <c r="G60" s="17"/>
      <c r="H60" s="8"/>
    </row>
    <row r="61" spans="1:8" ht="16.5" x14ac:dyDescent="0.3">
      <c r="A61" s="11"/>
      <c r="B61" s="8"/>
      <c r="C61" s="6"/>
      <c r="D61" s="6"/>
      <c r="E61" s="38" t="str">
        <f>IF(A61="","",IF(C61&gt;0, (D61-C61)/C61, 0))</f>
        <v/>
      </c>
      <c r="F61" s="8"/>
      <c r="G61" s="17"/>
      <c r="H61" s="8"/>
    </row>
    <row r="62" spans="1:8" ht="16.5" x14ac:dyDescent="0.3">
      <c r="A62" s="12"/>
      <c r="B62" s="8"/>
      <c r="C62" s="6"/>
      <c r="D62" s="6"/>
      <c r="E62" s="38" t="str">
        <f>IF(A62="","",IF(C62&gt;0, (D62-C62)/C62, 0))</f>
        <v/>
      </c>
      <c r="F62" s="8"/>
      <c r="G62" s="17"/>
      <c r="H62" s="8"/>
    </row>
    <row r="63" spans="1:8" ht="16.5" x14ac:dyDescent="0.3">
      <c r="A63" s="11"/>
      <c r="B63" s="8"/>
      <c r="C63" s="6"/>
      <c r="D63" s="6"/>
      <c r="E63" s="38" t="str">
        <f>IF(A63="","",IF(C63&gt;0, (D63-C63)/C63, 0))</f>
        <v/>
      </c>
      <c r="F63" s="8"/>
      <c r="G63" s="17"/>
      <c r="H63" s="8"/>
    </row>
    <row r="64" spans="1:8" ht="16.5" x14ac:dyDescent="0.3">
      <c r="A64" s="12"/>
      <c r="B64" s="8"/>
      <c r="C64" s="6"/>
      <c r="D64" s="6"/>
      <c r="E64" s="38" t="str">
        <f>IF(A64="","",IF(C64&gt;0, (D64-C64)/C64, 0))</f>
        <v/>
      </c>
      <c r="F64" s="8"/>
      <c r="G64" s="17"/>
      <c r="H64" s="8"/>
    </row>
    <row r="65" spans="1:8" ht="16.5" x14ac:dyDescent="0.3">
      <c r="A65" s="11"/>
      <c r="B65" s="8"/>
      <c r="C65" s="6"/>
      <c r="D65" s="6"/>
      <c r="E65" s="38" t="str">
        <f>IF(A65="","",IF(C65&gt;0, (D65-C65)/C65, 0))</f>
        <v/>
      </c>
      <c r="F65" s="8"/>
      <c r="G65" s="17"/>
      <c r="H65" s="8"/>
    </row>
    <row r="66" spans="1:8" ht="16.5" x14ac:dyDescent="0.3">
      <c r="A66" s="12"/>
      <c r="B66" s="8"/>
      <c r="C66" s="6"/>
      <c r="D66" s="6"/>
      <c r="E66" s="38" t="str">
        <f>IF(A66="","",IF(C66&gt;0, (D66-C66)/C66, 0))</f>
        <v/>
      </c>
      <c r="F66" s="8"/>
      <c r="G66" s="17"/>
      <c r="H66" s="8"/>
    </row>
    <row r="67" spans="1:8" ht="16.5" x14ac:dyDescent="0.3">
      <c r="A67" s="11"/>
      <c r="B67" s="8"/>
      <c r="C67" s="6"/>
      <c r="D67" s="6"/>
      <c r="E67" s="38" t="str">
        <f>IF(A67="","",IF(C67&gt;0, (D67-C67)/C67, 0))</f>
        <v/>
      </c>
      <c r="F67" s="8"/>
      <c r="G67" s="17"/>
      <c r="H67" s="8"/>
    </row>
    <row r="68" spans="1:8" ht="16.5" x14ac:dyDescent="0.3">
      <c r="A68" s="12"/>
      <c r="B68" s="8"/>
      <c r="C68" s="6"/>
      <c r="D68" s="6"/>
      <c r="E68" s="38" t="str">
        <f>IF(A68="","",IF(C68&gt;0, (D68-C68)/C68, 0))</f>
        <v/>
      </c>
      <c r="F68" s="8"/>
      <c r="G68" s="17"/>
      <c r="H68" s="8"/>
    </row>
    <row r="69" spans="1:8" ht="16.5" x14ac:dyDescent="0.3">
      <c r="A69" s="11"/>
      <c r="B69" s="8"/>
      <c r="C69" s="6"/>
      <c r="D69" s="6"/>
      <c r="E69" s="38" t="str">
        <f>IF(A69="","",IF(C69&gt;0, (D69-C69)/C69, 0))</f>
        <v/>
      </c>
      <c r="F69" s="8"/>
      <c r="G69" s="17"/>
      <c r="H69" s="8"/>
    </row>
    <row r="70" spans="1:8" ht="16.5" x14ac:dyDescent="0.3">
      <c r="A70" s="12"/>
      <c r="B70" s="8"/>
      <c r="C70" s="6"/>
      <c r="D70" s="6"/>
      <c r="E70" s="38" t="str">
        <f>IF(A70="","",IF(C70&gt;0, (D70-C70)/C70, 0))</f>
        <v/>
      </c>
      <c r="F70" s="8"/>
      <c r="G70" s="17"/>
      <c r="H70" s="8"/>
    </row>
    <row r="71" spans="1:8" ht="16.5" x14ac:dyDescent="0.3">
      <c r="A71" s="11"/>
      <c r="B71" s="8"/>
      <c r="C71" s="6"/>
      <c r="D71" s="6"/>
      <c r="E71" s="38" t="str">
        <f>IF(A71="","",IF(C71&gt;0, (D71-C71)/C71, 0))</f>
        <v/>
      </c>
      <c r="F71" s="8"/>
      <c r="G71" s="17"/>
      <c r="H71" s="8"/>
    </row>
    <row r="72" spans="1:8" ht="16.5" x14ac:dyDescent="0.3">
      <c r="A72" s="12"/>
      <c r="B72" s="8"/>
      <c r="C72" s="6"/>
      <c r="D72" s="6"/>
      <c r="E72" s="38" t="str">
        <f>IF(A72="","",IF(C72&gt;0, (D72-C72)/C72, 0))</f>
        <v/>
      </c>
      <c r="F72" s="8"/>
      <c r="G72" s="17"/>
      <c r="H72" s="8"/>
    </row>
    <row r="73" spans="1:8" ht="16.5" x14ac:dyDescent="0.3">
      <c r="A73" s="11"/>
      <c r="B73" s="8"/>
      <c r="C73" s="6"/>
      <c r="D73" s="6"/>
      <c r="E73" s="38" t="str">
        <f>IF(A73="","",IF(C73&gt;0, (D73-C73)/C73, 0))</f>
        <v/>
      </c>
      <c r="F73" s="8"/>
      <c r="G73" s="17"/>
      <c r="H73" s="8"/>
    </row>
    <row r="74" spans="1:8" ht="16.5" x14ac:dyDescent="0.3">
      <c r="A74" s="12"/>
      <c r="B74" s="8"/>
      <c r="C74" s="6"/>
      <c r="D74" s="6"/>
      <c r="E74" s="38" t="str">
        <f>IF(A74="","",IF(C74&gt;0, (D74-C74)/C74, 0))</f>
        <v/>
      </c>
      <c r="F74" s="8"/>
      <c r="G74" s="17"/>
      <c r="H74" s="8"/>
    </row>
    <row r="75" spans="1:8" ht="16.5" x14ac:dyDescent="0.3">
      <c r="A75" s="11"/>
      <c r="B75" s="8"/>
      <c r="C75" s="6"/>
      <c r="D75" s="6"/>
      <c r="E75" s="38" t="str">
        <f>IF(A75="","",IF(C75&gt;0, (D75-C75)/C75, 0))</f>
        <v/>
      </c>
      <c r="F75" s="8"/>
      <c r="G75" s="17"/>
      <c r="H75" s="8"/>
    </row>
    <row r="76" spans="1:8" ht="16.5" x14ac:dyDescent="0.3">
      <c r="A76" s="12"/>
      <c r="B76" s="8"/>
      <c r="C76" s="6"/>
      <c r="D76" s="6"/>
      <c r="E76" s="38" t="str">
        <f>IF(A76="","",IF(C76&gt;0, (D76-C76)/C76, 0))</f>
        <v/>
      </c>
      <c r="F76" s="8"/>
      <c r="G76" s="17"/>
      <c r="H76" s="8"/>
    </row>
    <row r="77" spans="1:8" ht="16.5" x14ac:dyDescent="0.3">
      <c r="A77" s="11"/>
      <c r="B77" s="8"/>
      <c r="C77" s="6"/>
      <c r="D77" s="6"/>
      <c r="E77" s="38" t="str">
        <f>IF(A77="","",IF(C77&gt;0, (D77-C77)/C77, 0))</f>
        <v/>
      </c>
      <c r="F77" s="8"/>
      <c r="G77" s="17"/>
      <c r="H77" s="8"/>
    </row>
    <row r="78" spans="1:8" ht="16.5" x14ac:dyDescent="0.3">
      <c r="A78" s="12"/>
      <c r="B78" s="8"/>
      <c r="C78" s="6"/>
      <c r="D78" s="6"/>
      <c r="E78" s="38" t="str">
        <f>IF(A78="","",IF(C78&gt;0, (D78-C78)/C78, 0))</f>
        <v/>
      </c>
      <c r="F78" s="8"/>
      <c r="G78" s="17"/>
      <c r="H78" s="8"/>
    </row>
    <row r="79" spans="1:8" ht="16.5" x14ac:dyDescent="0.3">
      <c r="A79" s="11"/>
      <c r="B79" s="8"/>
      <c r="C79" s="6"/>
      <c r="D79" s="6"/>
      <c r="E79" s="38" t="str">
        <f>IF(A79="","",IF(C79&gt;0, (D79-C79)/C79, 0))</f>
        <v/>
      </c>
      <c r="F79" s="8"/>
      <c r="G79" s="17"/>
      <c r="H79" s="8"/>
    </row>
    <row r="80" spans="1:8" ht="16.5" x14ac:dyDescent="0.3">
      <c r="A80" s="12"/>
      <c r="B80" s="8"/>
      <c r="C80" s="6"/>
      <c r="D80" s="6"/>
      <c r="E80" s="38" t="str">
        <f>IF(A80="","",IF(C80&gt;0, (D80-C80)/C80, 0))</f>
        <v/>
      </c>
      <c r="F80" s="8"/>
      <c r="G80" s="17"/>
      <c r="H80" s="8"/>
    </row>
    <row r="81" spans="1:8" ht="16.5" x14ac:dyDescent="0.3">
      <c r="A81" s="11"/>
      <c r="B81" s="8"/>
      <c r="C81" s="6"/>
      <c r="D81" s="6"/>
      <c r="E81" s="38" t="str">
        <f>IF(A81="","",IF(C81&gt;0, (D81-C81)/C81, 0))</f>
        <v/>
      </c>
      <c r="F81" s="8"/>
      <c r="G81" s="17"/>
      <c r="H81" s="8"/>
    </row>
    <row r="82" spans="1:8" ht="16.5" x14ac:dyDescent="0.3">
      <c r="A82" s="12"/>
      <c r="B82" s="8"/>
      <c r="C82" s="6"/>
      <c r="D82" s="6"/>
      <c r="E82" s="38" t="str">
        <f>IF(A82="","",IF(C82&gt;0, (D82-C82)/C82, 0))</f>
        <v/>
      </c>
      <c r="F82" s="8"/>
      <c r="G82" s="17"/>
      <c r="H82" s="8"/>
    </row>
    <row r="83" spans="1:8" ht="16.5" x14ac:dyDescent="0.3">
      <c r="A83" s="11"/>
      <c r="B83" s="8"/>
      <c r="C83" s="6"/>
      <c r="D83" s="6"/>
      <c r="E83" s="38" t="str">
        <f>IF(A83="","",IF(C83&gt;0, (D83-C83)/C83, 0))</f>
        <v/>
      </c>
      <c r="F83" s="8"/>
      <c r="G83" s="17"/>
      <c r="H83" s="8"/>
    </row>
    <row r="84" spans="1:8" ht="16.5" x14ac:dyDescent="0.3">
      <c r="A84" s="12"/>
      <c r="B84" s="8"/>
      <c r="C84" s="6"/>
      <c r="D84" s="6"/>
      <c r="E84" s="38" t="str">
        <f>IF(A84="","",IF(C84&gt;0, (D84-C84)/C84, 0))</f>
        <v/>
      </c>
      <c r="F84" s="8"/>
      <c r="G84" s="17"/>
      <c r="H84" s="8"/>
    </row>
    <row r="85" spans="1:8" ht="16.5" x14ac:dyDescent="0.3">
      <c r="A85" s="11"/>
      <c r="B85" s="8"/>
      <c r="C85" s="6"/>
      <c r="D85" s="6"/>
      <c r="E85" s="38" t="str">
        <f>IF(A85="","",IF(C85&gt;0, (D85-C85)/C85, 0))</f>
        <v/>
      </c>
      <c r="F85" s="8"/>
      <c r="G85" s="17"/>
      <c r="H85" s="8"/>
    </row>
    <row r="86" spans="1:8" ht="16.5" x14ac:dyDescent="0.3">
      <c r="A86" s="12"/>
      <c r="B86" s="8"/>
      <c r="C86" s="6"/>
      <c r="D86" s="6"/>
      <c r="E86" s="38" t="str">
        <f>IF(A86="","",IF(C86&gt;0, (D86-C86)/C86, 0))</f>
        <v/>
      </c>
      <c r="F86" s="8"/>
      <c r="G86" s="17"/>
      <c r="H86" s="8"/>
    </row>
    <row r="87" spans="1:8" ht="16.5" x14ac:dyDescent="0.3">
      <c r="A87" s="11"/>
      <c r="B87" s="8"/>
      <c r="C87" s="6"/>
      <c r="D87" s="6"/>
      <c r="E87" s="38" t="str">
        <f>IF(A87="","",IF(C87&gt;0, (D87-C87)/C87, 0))</f>
        <v/>
      </c>
      <c r="F87" s="8"/>
      <c r="G87" s="17"/>
      <c r="H87" s="8"/>
    </row>
    <row r="88" spans="1:8" ht="16.5" x14ac:dyDescent="0.3">
      <c r="A88" s="12"/>
      <c r="B88" s="8"/>
      <c r="C88" s="6"/>
      <c r="D88" s="6"/>
      <c r="E88" s="38" t="str">
        <f>IF(A88="","",IF(C88&gt;0, (D88-C88)/C88, 0))</f>
        <v/>
      </c>
      <c r="F88" s="8"/>
      <c r="G88" s="17"/>
      <c r="H88" s="8"/>
    </row>
    <row r="89" spans="1:8" ht="16.5" x14ac:dyDescent="0.3">
      <c r="A89" s="11"/>
      <c r="B89" s="8"/>
      <c r="C89" s="6"/>
      <c r="D89" s="6"/>
      <c r="E89" s="38" t="str">
        <f>IF(A89="","",IF(C89&gt;0, (D89-C89)/C89, 0))</f>
        <v/>
      </c>
      <c r="F89" s="8"/>
      <c r="G89" s="17"/>
      <c r="H89" s="8"/>
    </row>
    <row r="90" spans="1:8" ht="16.5" x14ac:dyDescent="0.3">
      <c r="A90" s="12"/>
      <c r="B90" s="8"/>
      <c r="C90" s="6"/>
      <c r="D90" s="6"/>
      <c r="E90" s="38" t="str">
        <f>IF(A90="","",IF(C90&gt;0, (D90-C90)/C90, 0))</f>
        <v/>
      </c>
      <c r="F90" s="8"/>
      <c r="G90" s="17"/>
      <c r="H90" s="8"/>
    </row>
    <row r="91" spans="1:8" ht="16.5" x14ac:dyDescent="0.3">
      <c r="A91" s="11"/>
      <c r="B91" s="8"/>
      <c r="C91" s="6"/>
      <c r="D91" s="6"/>
      <c r="E91" s="38" t="str">
        <f>IF(A91="","",IF(C91&gt;0, (D91-C91)/C91, 0))</f>
        <v/>
      </c>
      <c r="F91" s="8"/>
      <c r="G91" s="17"/>
      <c r="H91" s="8"/>
    </row>
    <row r="92" spans="1:8" ht="16.5" x14ac:dyDescent="0.3">
      <c r="A92" s="12"/>
      <c r="B92" s="8"/>
      <c r="C92" s="6"/>
      <c r="D92" s="6"/>
      <c r="E92" s="38" t="str">
        <f>IF(A92="","",IF(C92&gt;0, (D92-C92)/C92, 0))</f>
        <v/>
      </c>
      <c r="F92" s="8"/>
      <c r="G92" s="17"/>
      <c r="H92" s="8"/>
    </row>
    <row r="93" spans="1:8" ht="16.5" x14ac:dyDescent="0.3">
      <c r="A93" s="11"/>
      <c r="B93" s="8"/>
      <c r="C93" s="6"/>
      <c r="D93" s="6"/>
      <c r="E93" s="38" t="str">
        <f>IF(A93="","",IF(C93&gt;0, (D93-C93)/C93, 0))</f>
        <v/>
      </c>
      <c r="F93" s="8"/>
      <c r="G93" s="17"/>
      <c r="H93" s="8"/>
    </row>
    <row r="94" spans="1:8" ht="16.5" x14ac:dyDescent="0.3">
      <c r="A94" s="12"/>
      <c r="B94" s="8"/>
      <c r="C94" s="6"/>
      <c r="D94" s="6"/>
      <c r="E94" s="38" t="str">
        <f>IF(A94="","",IF(C94&gt;0, (D94-C94)/C94, 0))</f>
        <v/>
      </c>
      <c r="F94" s="8"/>
      <c r="G94" s="17"/>
      <c r="H94" s="8"/>
    </row>
    <row r="95" spans="1:8" ht="16.5" x14ac:dyDescent="0.3">
      <c r="A95" s="11"/>
      <c r="B95" s="8"/>
      <c r="C95" s="6"/>
      <c r="D95" s="6"/>
      <c r="E95" s="38" t="str">
        <f>IF(A95="","",IF(C95&gt;0, (D95-C95)/C95, 0))</f>
        <v/>
      </c>
      <c r="F95" s="8"/>
      <c r="G95" s="17"/>
      <c r="H95" s="8"/>
    </row>
    <row r="96" spans="1:8" ht="16.5" x14ac:dyDescent="0.3">
      <c r="A96" s="12"/>
      <c r="B96" s="8"/>
      <c r="C96" s="6"/>
      <c r="D96" s="6"/>
      <c r="E96" s="38" t="str">
        <f>IF(A96="","",IF(C96&gt;0, (D96-C96)/C96, 0))</f>
        <v/>
      </c>
      <c r="F96" s="8"/>
      <c r="G96" s="17"/>
      <c r="H96" s="8"/>
    </row>
    <row r="97" spans="1:8" ht="16.5" x14ac:dyDescent="0.3">
      <c r="A97" s="11"/>
      <c r="B97" s="8"/>
      <c r="C97" s="6"/>
      <c r="D97" s="6"/>
      <c r="E97" s="38" t="str">
        <f>IF(A97="","",IF(C97&gt;0, (D97-C97)/C97, 0))</f>
        <v/>
      </c>
      <c r="F97" s="8"/>
      <c r="G97" s="17"/>
      <c r="H97" s="8"/>
    </row>
    <row r="98" spans="1:8" ht="16.5" x14ac:dyDescent="0.3">
      <c r="A98" s="12"/>
      <c r="B98" s="8"/>
      <c r="C98" s="6"/>
      <c r="D98" s="6"/>
      <c r="E98" s="38" t="str">
        <f>IF(A98="","",IF(C98&gt;0, (D98-C98)/C98, 0))</f>
        <v/>
      </c>
      <c r="F98" s="8"/>
      <c r="G98" s="17"/>
      <c r="H98" s="8"/>
    </row>
    <row r="99" spans="1:8" ht="16.5" x14ac:dyDescent="0.3">
      <c r="A99" s="11"/>
      <c r="B99" s="8"/>
      <c r="C99" s="6"/>
      <c r="D99" s="6"/>
      <c r="E99" s="38" t="str">
        <f>IF(A99="","",IF(C99&gt;0, (D99-C99)/C99, 0))</f>
        <v/>
      </c>
      <c r="F99" s="8"/>
      <c r="G99" s="17"/>
      <c r="H99" s="8"/>
    </row>
    <row r="100" spans="1:8" ht="16.5" x14ac:dyDescent="0.3">
      <c r="A100" s="12"/>
      <c r="B100" s="8"/>
      <c r="C100" s="6"/>
      <c r="D100" s="6"/>
      <c r="E100" s="38" t="str">
        <f>IF(A100="","",IF(C100&gt;0, (D100-C100)/C100, 0))</f>
        <v/>
      </c>
      <c r="F100" s="8"/>
      <c r="G100" s="17"/>
      <c r="H100" s="8"/>
    </row>
  </sheetData>
  <autoFilter ref="A4:H4" xr:uid="{6009E19D-0053-4B8D-B3E8-455F3B9E2FB4}"/>
  <mergeCells count="1">
    <mergeCell ref="A2:H2"/>
  </mergeCells>
  <dataValidations count="2">
    <dataValidation type="list" allowBlank="1" showInputMessage="1" showErrorMessage="1" sqref="F5:F100" xr:uid="{5DE3DFB5-60D3-4E3D-888B-DB17B8A2C5D1}">
      <formula1>"ROI Alto,CPA Abaixo da Meta,Validacao de Escala,Reducao de Custos"</formula1>
    </dataValidation>
    <dataValidation type="list" allowBlank="1" showInputMessage="1" showErrorMessage="1" sqref="G5:G100" xr:uid="{73D5EBCE-12B6-4BED-B5E9-3181535ED558}">
      <formula1>"Positivo (Manteve ROI),Neutro (CPA aceitavel),Negativo (CPA estourou),Em Analise"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459F6-5779-4C9C-9B1B-78149C265EC0}">
  <dimension ref="A2:J1000"/>
  <sheetViews>
    <sheetView workbookViewId="0">
      <pane ySplit="4" topLeftCell="A5" activePane="bottomLeft" state="frozenSplit"/>
      <selection pane="bottomLeft"/>
    </sheetView>
  </sheetViews>
  <sheetFormatPr defaultRowHeight="15" x14ac:dyDescent="0.25"/>
  <cols>
    <col min="1" max="1" width="11.85546875" bestFit="1" customWidth="1"/>
    <col min="2" max="2" width="21.140625" bestFit="1" customWidth="1"/>
    <col min="3" max="3" width="16" bestFit="1" customWidth="1"/>
    <col min="4" max="4" width="25.7109375" customWidth="1"/>
    <col min="5" max="5" width="21.5703125" bestFit="1" customWidth="1"/>
    <col min="6" max="6" width="25.7109375" customWidth="1"/>
    <col min="8" max="8" width="20.28515625" bestFit="1" customWidth="1"/>
    <col min="9" max="9" width="12.85546875" bestFit="1" customWidth="1"/>
    <col min="10" max="10" width="14.28515625" bestFit="1" customWidth="1"/>
  </cols>
  <sheetData>
    <row r="2" spans="1:10" ht="35.1" customHeight="1" x14ac:dyDescent="0.3">
      <c r="A2" s="1" t="s">
        <v>34</v>
      </c>
      <c r="B2" s="1"/>
      <c r="C2" s="1"/>
      <c r="D2" s="1"/>
      <c r="E2" s="1"/>
      <c r="F2" s="1"/>
      <c r="H2" s="13" t="s">
        <v>39</v>
      </c>
      <c r="I2" s="13" t="s">
        <v>40</v>
      </c>
      <c r="J2" s="13" t="s">
        <v>41</v>
      </c>
    </row>
    <row r="3" spans="1:10" ht="16.5" x14ac:dyDescent="0.3">
      <c r="H3" s="14" t="e">
        <f>SUM(B)</f>
        <v>#NAME?</v>
      </c>
      <c r="I3" s="15">
        <f>COUNT(B)</f>
        <v>0</v>
      </c>
      <c r="J3" s="14">
        <f>IF(I3&gt;0, H3/I3, 0)</f>
        <v>0</v>
      </c>
    </row>
    <row r="4" spans="1:10" ht="26.1" customHeight="1" x14ac:dyDescent="0.25">
      <c r="A4" s="4" t="s">
        <v>1</v>
      </c>
      <c r="B4" s="4" t="s">
        <v>35</v>
      </c>
      <c r="C4" s="4" t="s">
        <v>36</v>
      </c>
      <c r="D4" s="4" t="s">
        <v>37</v>
      </c>
      <c r="E4" s="4" t="s">
        <v>38</v>
      </c>
      <c r="F4" s="4" t="s">
        <v>16</v>
      </c>
    </row>
    <row r="5" spans="1:10" ht="16.5" x14ac:dyDescent="0.3">
      <c r="A5" s="11">
        <v>46301</v>
      </c>
      <c r="B5" s="6">
        <v>47</v>
      </c>
      <c r="C5" s="8" t="s">
        <v>42</v>
      </c>
      <c r="D5" s="8" t="s">
        <v>43</v>
      </c>
      <c r="E5" s="8" t="s">
        <v>44</v>
      </c>
    </row>
    <row r="6" spans="1:10" ht="16.5" x14ac:dyDescent="0.3">
      <c r="A6" s="12">
        <v>46301</v>
      </c>
      <c r="B6" s="6">
        <v>47</v>
      </c>
      <c r="C6" s="8" t="s">
        <v>42</v>
      </c>
      <c r="D6" s="8" t="s">
        <v>43</v>
      </c>
      <c r="E6" s="8" t="s">
        <v>44</v>
      </c>
    </row>
    <row r="7" spans="1:10" ht="16.5" x14ac:dyDescent="0.3">
      <c r="A7" s="11">
        <v>46332</v>
      </c>
      <c r="B7" s="6">
        <v>47</v>
      </c>
      <c r="C7" s="8" t="s">
        <v>42</v>
      </c>
      <c r="D7" s="8" t="s">
        <v>45</v>
      </c>
      <c r="E7" s="8" t="s">
        <v>44</v>
      </c>
    </row>
    <row r="8" spans="1:10" ht="16.5" x14ac:dyDescent="0.3">
      <c r="A8" s="12">
        <v>46332</v>
      </c>
      <c r="B8" s="6">
        <v>47</v>
      </c>
      <c r="C8" s="8" t="s">
        <v>42</v>
      </c>
      <c r="D8" s="8" t="s">
        <v>45</v>
      </c>
      <c r="E8" s="8" t="s">
        <v>44</v>
      </c>
    </row>
    <row r="9" spans="1:10" ht="16.5" x14ac:dyDescent="0.3">
      <c r="A9" s="11">
        <v>46332</v>
      </c>
      <c r="B9" s="6">
        <v>47</v>
      </c>
      <c r="C9" s="8" t="s">
        <v>42</v>
      </c>
      <c r="D9" s="8" t="s">
        <v>45</v>
      </c>
      <c r="E9" s="8" t="s">
        <v>44</v>
      </c>
    </row>
    <row r="10" spans="1:10" ht="16.5" x14ac:dyDescent="0.3">
      <c r="A10" s="12">
        <v>46362</v>
      </c>
      <c r="B10" s="6">
        <v>47</v>
      </c>
      <c r="C10" s="8" t="s">
        <v>42</v>
      </c>
      <c r="D10" s="8" t="s">
        <v>46</v>
      </c>
      <c r="E10" s="8" t="s">
        <v>44</v>
      </c>
    </row>
    <row r="11" spans="1:10" ht="16.5" x14ac:dyDescent="0.3">
      <c r="A11" s="11">
        <v>46362</v>
      </c>
      <c r="B11" s="6">
        <v>47</v>
      </c>
      <c r="C11" s="8" t="s">
        <v>42</v>
      </c>
      <c r="D11" s="8" t="s">
        <v>43</v>
      </c>
      <c r="E11" s="8" t="s">
        <v>44</v>
      </c>
    </row>
    <row r="12" spans="1:10" ht="16.5" x14ac:dyDescent="0.3">
      <c r="A12" s="12" t="s">
        <v>20</v>
      </c>
      <c r="B12" s="6">
        <v>47</v>
      </c>
      <c r="C12" s="8" t="s">
        <v>42</v>
      </c>
      <c r="D12" s="8" t="s">
        <v>47</v>
      </c>
      <c r="E12" s="8" t="s">
        <v>44</v>
      </c>
    </row>
    <row r="13" spans="1:10" ht="16.5" x14ac:dyDescent="0.3">
      <c r="A13" s="11" t="s">
        <v>22</v>
      </c>
      <c r="B13" s="6">
        <v>47</v>
      </c>
      <c r="C13" s="8" t="s">
        <v>42</v>
      </c>
      <c r="D13" s="8" t="s">
        <v>48</v>
      </c>
      <c r="E13" s="8" t="s">
        <v>44</v>
      </c>
    </row>
    <row r="14" spans="1:10" ht="16.5" x14ac:dyDescent="0.3">
      <c r="A14" s="12" t="s">
        <v>22</v>
      </c>
      <c r="B14" s="6">
        <v>47</v>
      </c>
      <c r="C14" s="8" t="s">
        <v>42</v>
      </c>
      <c r="D14" s="8" t="s">
        <v>45</v>
      </c>
      <c r="E14" s="8" t="s">
        <v>44</v>
      </c>
    </row>
    <row r="15" spans="1:10" ht="16.5" x14ac:dyDescent="0.3">
      <c r="A15" s="11" t="s">
        <v>22</v>
      </c>
      <c r="B15" s="6">
        <v>47</v>
      </c>
      <c r="C15" s="8" t="s">
        <v>42</v>
      </c>
      <c r="D15" s="8" t="s">
        <v>45</v>
      </c>
      <c r="E15" s="8" t="s">
        <v>44</v>
      </c>
    </row>
    <row r="16" spans="1:10" ht="16.5" x14ac:dyDescent="0.3">
      <c r="A16" s="12" t="s">
        <v>22</v>
      </c>
      <c r="B16" s="6">
        <v>47</v>
      </c>
      <c r="C16" s="8" t="s">
        <v>42</v>
      </c>
      <c r="D16" s="8" t="s">
        <v>48</v>
      </c>
      <c r="E16" s="8" t="s">
        <v>44</v>
      </c>
    </row>
    <row r="17" spans="1:5" ht="16.5" x14ac:dyDescent="0.3">
      <c r="A17" s="11" t="s">
        <v>24</v>
      </c>
      <c r="B17" s="6">
        <v>47</v>
      </c>
      <c r="C17" s="8" t="s">
        <v>42</v>
      </c>
      <c r="D17" s="8" t="s">
        <v>45</v>
      </c>
      <c r="E17" s="8" t="s">
        <v>44</v>
      </c>
    </row>
    <row r="18" spans="1:5" ht="16.5" x14ac:dyDescent="0.3">
      <c r="A18" s="12" t="s">
        <v>24</v>
      </c>
      <c r="B18" s="6">
        <v>47</v>
      </c>
      <c r="C18" s="8" t="s">
        <v>42</v>
      </c>
      <c r="D18" s="8" t="s">
        <v>43</v>
      </c>
      <c r="E18" s="8" t="s">
        <v>44</v>
      </c>
    </row>
    <row r="19" spans="1:5" ht="16.5" x14ac:dyDescent="0.3">
      <c r="A19" s="11" t="s">
        <v>24</v>
      </c>
      <c r="B19" s="6">
        <v>47</v>
      </c>
      <c r="C19" s="8" t="s">
        <v>42</v>
      </c>
      <c r="D19" s="8" t="s">
        <v>45</v>
      </c>
      <c r="E19" s="8" t="s">
        <v>44</v>
      </c>
    </row>
    <row r="20" spans="1:5" ht="16.5" x14ac:dyDescent="0.3">
      <c r="A20" s="12" t="s">
        <v>24</v>
      </c>
      <c r="B20" s="6">
        <v>47</v>
      </c>
      <c r="C20" s="8" t="s">
        <v>42</v>
      </c>
      <c r="D20" s="8" t="s">
        <v>46</v>
      </c>
      <c r="E20" s="8" t="s">
        <v>44</v>
      </c>
    </row>
    <row r="21" spans="1:5" ht="16.5" x14ac:dyDescent="0.3">
      <c r="A21" s="11" t="s">
        <v>24</v>
      </c>
      <c r="B21" s="6">
        <v>47</v>
      </c>
      <c r="C21" s="8" t="s">
        <v>42</v>
      </c>
      <c r="D21" s="8" t="s">
        <v>45</v>
      </c>
      <c r="E21" s="8" t="s">
        <v>44</v>
      </c>
    </row>
    <row r="22" spans="1:5" ht="16.5" x14ac:dyDescent="0.3">
      <c r="A22" s="12" t="s">
        <v>26</v>
      </c>
      <c r="B22" s="6">
        <v>47</v>
      </c>
      <c r="C22" s="8" t="s">
        <v>42</v>
      </c>
      <c r="D22" s="8" t="s">
        <v>43</v>
      </c>
      <c r="E22" s="8" t="s">
        <v>44</v>
      </c>
    </row>
    <row r="23" spans="1:5" ht="16.5" x14ac:dyDescent="0.3">
      <c r="A23" s="11" t="s">
        <v>26</v>
      </c>
      <c r="B23" s="6">
        <v>47</v>
      </c>
      <c r="C23" s="8" t="s">
        <v>42</v>
      </c>
      <c r="D23" s="8" t="s">
        <v>43</v>
      </c>
      <c r="E23" s="8" t="s">
        <v>44</v>
      </c>
    </row>
    <row r="24" spans="1:5" ht="16.5" x14ac:dyDescent="0.3">
      <c r="A24" s="12" t="s">
        <v>26</v>
      </c>
      <c r="B24" s="6">
        <v>47</v>
      </c>
      <c r="C24" s="8" t="s">
        <v>42</v>
      </c>
      <c r="D24" s="8" t="s">
        <v>45</v>
      </c>
      <c r="E24" s="8" t="s">
        <v>44</v>
      </c>
    </row>
    <row r="25" spans="1:5" ht="16.5" x14ac:dyDescent="0.3">
      <c r="A25" s="11" t="s">
        <v>26</v>
      </c>
      <c r="B25" s="6">
        <v>47</v>
      </c>
      <c r="C25" s="8" t="s">
        <v>42</v>
      </c>
      <c r="D25" s="8" t="s">
        <v>45</v>
      </c>
      <c r="E25" s="8" t="s">
        <v>44</v>
      </c>
    </row>
    <row r="26" spans="1:5" ht="16.5" x14ac:dyDescent="0.3">
      <c r="A26" s="12" t="s">
        <v>26</v>
      </c>
      <c r="B26" s="6">
        <v>47</v>
      </c>
      <c r="C26" s="8" t="s">
        <v>42</v>
      </c>
      <c r="D26" s="8" t="s">
        <v>45</v>
      </c>
      <c r="E26" s="8" t="s">
        <v>44</v>
      </c>
    </row>
    <row r="27" spans="1:5" ht="16.5" x14ac:dyDescent="0.3">
      <c r="A27" s="11" t="s">
        <v>26</v>
      </c>
      <c r="B27" s="6">
        <v>47</v>
      </c>
      <c r="C27" s="8" t="s">
        <v>42</v>
      </c>
      <c r="D27" s="8" t="s">
        <v>48</v>
      </c>
      <c r="E27" s="8" t="s">
        <v>44</v>
      </c>
    </row>
    <row r="28" spans="1:5" ht="16.5" x14ac:dyDescent="0.3">
      <c r="A28" s="12" t="s">
        <v>28</v>
      </c>
      <c r="B28" s="6">
        <v>47</v>
      </c>
      <c r="C28" s="8" t="s">
        <v>42</v>
      </c>
      <c r="D28" s="8" t="s">
        <v>45</v>
      </c>
      <c r="E28" s="8" t="s">
        <v>44</v>
      </c>
    </row>
    <row r="29" spans="1:5" ht="16.5" x14ac:dyDescent="0.3">
      <c r="A29" s="11" t="s">
        <v>28</v>
      </c>
      <c r="B29" s="6">
        <v>47</v>
      </c>
      <c r="C29" s="8" t="s">
        <v>42</v>
      </c>
      <c r="D29" s="8" t="s">
        <v>46</v>
      </c>
      <c r="E29" s="8" t="s">
        <v>44</v>
      </c>
    </row>
    <row r="30" spans="1:5" ht="16.5" x14ac:dyDescent="0.3">
      <c r="A30" s="12" t="s">
        <v>28</v>
      </c>
      <c r="B30" s="6">
        <v>47</v>
      </c>
      <c r="C30" s="8" t="s">
        <v>42</v>
      </c>
      <c r="D30" s="8" t="s">
        <v>48</v>
      </c>
      <c r="E30" s="8" t="s">
        <v>44</v>
      </c>
    </row>
    <row r="31" spans="1:5" ht="16.5" x14ac:dyDescent="0.3">
      <c r="A31" s="11" t="s">
        <v>30</v>
      </c>
      <c r="B31" s="6">
        <v>47</v>
      </c>
      <c r="C31" s="8" t="s">
        <v>42</v>
      </c>
      <c r="D31" s="8" t="s">
        <v>45</v>
      </c>
      <c r="E31" s="8" t="s">
        <v>44</v>
      </c>
    </row>
    <row r="32" spans="1:5" ht="16.5" x14ac:dyDescent="0.3">
      <c r="A32" s="12" t="s">
        <v>30</v>
      </c>
      <c r="B32" s="6">
        <v>47</v>
      </c>
      <c r="C32" s="8" t="s">
        <v>42</v>
      </c>
      <c r="D32" s="8" t="s">
        <v>45</v>
      </c>
      <c r="E32" s="8" t="s">
        <v>44</v>
      </c>
    </row>
    <row r="33" spans="1:5" ht="16.5" x14ac:dyDescent="0.3">
      <c r="A33" s="11" t="s">
        <v>30</v>
      </c>
      <c r="B33" s="6">
        <v>47</v>
      </c>
      <c r="C33" s="8" t="s">
        <v>42</v>
      </c>
      <c r="D33" s="8" t="s">
        <v>46</v>
      </c>
      <c r="E33" s="8" t="s">
        <v>44</v>
      </c>
    </row>
    <row r="34" spans="1:5" ht="16.5" x14ac:dyDescent="0.3">
      <c r="A34" s="12" t="s">
        <v>30</v>
      </c>
      <c r="B34" s="6">
        <v>47</v>
      </c>
      <c r="C34" s="8" t="s">
        <v>42</v>
      </c>
      <c r="D34" s="8" t="s">
        <v>43</v>
      </c>
      <c r="E34" s="8" t="s">
        <v>44</v>
      </c>
    </row>
    <row r="35" spans="1:5" ht="16.5" x14ac:dyDescent="0.3">
      <c r="A35" s="11" t="s">
        <v>30</v>
      </c>
      <c r="B35" s="6">
        <v>47</v>
      </c>
      <c r="C35" s="8" t="s">
        <v>42</v>
      </c>
      <c r="D35" s="8" t="s">
        <v>45</v>
      </c>
      <c r="E35" s="8" t="s">
        <v>44</v>
      </c>
    </row>
    <row r="36" spans="1:5" ht="16.5" x14ac:dyDescent="0.3">
      <c r="A36" s="12" t="s">
        <v>32</v>
      </c>
      <c r="B36" s="6">
        <v>47</v>
      </c>
      <c r="C36" s="8" t="s">
        <v>42</v>
      </c>
      <c r="D36" s="8" t="s">
        <v>43</v>
      </c>
      <c r="E36" s="8" t="s">
        <v>44</v>
      </c>
    </row>
    <row r="37" spans="1:5" ht="16.5" x14ac:dyDescent="0.3">
      <c r="A37" s="11" t="s">
        <v>32</v>
      </c>
      <c r="B37" s="6">
        <v>47</v>
      </c>
      <c r="C37" s="8" t="s">
        <v>42</v>
      </c>
      <c r="D37" s="8" t="s">
        <v>45</v>
      </c>
      <c r="E37" s="8" t="s">
        <v>44</v>
      </c>
    </row>
    <row r="38" spans="1:5" ht="16.5" x14ac:dyDescent="0.3">
      <c r="A38" s="12" t="s">
        <v>32</v>
      </c>
      <c r="B38" s="6">
        <v>47</v>
      </c>
      <c r="C38" s="8" t="s">
        <v>42</v>
      </c>
      <c r="D38" s="8" t="s">
        <v>45</v>
      </c>
      <c r="E38" s="8" t="s">
        <v>44</v>
      </c>
    </row>
    <row r="39" spans="1:5" ht="16.5" x14ac:dyDescent="0.3">
      <c r="A39" s="11" t="s">
        <v>32</v>
      </c>
      <c r="B39" s="6">
        <v>47</v>
      </c>
      <c r="C39" s="8" t="s">
        <v>42</v>
      </c>
      <c r="D39" s="8" t="s">
        <v>43</v>
      </c>
      <c r="E39" s="8" t="s">
        <v>44</v>
      </c>
    </row>
    <row r="40" spans="1:5" ht="16.5" x14ac:dyDescent="0.3">
      <c r="A40" s="12" t="s">
        <v>32</v>
      </c>
      <c r="B40" s="6">
        <v>47</v>
      </c>
      <c r="C40" s="8" t="s">
        <v>42</v>
      </c>
      <c r="D40" s="8" t="s">
        <v>45</v>
      </c>
      <c r="E40" s="8" t="s">
        <v>44</v>
      </c>
    </row>
    <row r="41" spans="1:5" ht="16.5" x14ac:dyDescent="0.3">
      <c r="A41" s="11" t="s">
        <v>32</v>
      </c>
      <c r="B41" s="6">
        <v>47</v>
      </c>
      <c r="C41" s="8" t="s">
        <v>42</v>
      </c>
      <c r="D41" s="8" t="s">
        <v>45</v>
      </c>
      <c r="E41" s="8" t="s">
        <v>44</v>
      </c>
    </row>
    <row r="42" spans="1:5" ht="16.5" x14ac:dyDescent="0.3">
      <c r="A42" s="12" t="s">
        <v>32</v>
      </c>
      <c r="B42" s="6">
        <v>47</v>
      </c>
      <c r="C42" s="8" t="s">
        <v>42</v>
      </c>
      <c r="D42" s="8" t="s">
        <v>48</v>
      </c>
      <c r="E42" s="8" t="s">
        <v>44</v>
      </c>
    </row>
    <row r="43" spans="1:5" ht="16.5" x14ac:dyDescent="0.3">
      <c r="A43" s="11" t="s">
        <v>32</v>
      </c>
      <c r="B43" s="6">
        <v>47</v>
      </c>
      <c r="C43" s="8" t="s">
        <v>42</v>
      </c>
      <c r="D43" s="8" t="s">
        <v>48</v>
      </c>
      <c r="E43" s="8" t="s">
        <v>44</v>
      </c>
    </row>
    <row r="44" spans="1:5" ht="16.5" x14ac:dyDescent="0.3">
      <c r="A44" s="12"/>
      <c r="B44" s="6"/>
      <c r="C44" s="8"/>
      <c r="D44" s="8"/>
      <c r="E44" s="8"/>
    </row>
    <row r="45" spans="1:5" ht="16.5" x14ac:dyDescent="0.3">
      <c r="A45" s="11"/>
      <c r="B45" s="6"/>
      <c r="C45" s="8"/>
      <c r="D45" s="8"/>
      <c r="E45" s="8"/>
    </row>
    <row r="46" spans="1:5" ht="16.5" x14ac:dyDescent="0.3">
      <c r="A46" s="12"/>
      <c r="B46" s="6"/>
      <c r="C46" s="8"/>
      <c r="D46" s="8"/>
      <c r="E46" s="8"/>
    </row>
    <row r="47" spans="1:5" ht="16.5" x14ac:dyDescent="0.3">
      <c r="A47" s="11"/>
      <c r="B47" s="6"/>
      <c r="C47" s="8"/>
      <c r="D47" s="8"/>
      <c r="E47" s="8"/>
    </row>
    <row r="48" spans="1:5" ht="16.5" x14ac:dyDescent="0.3">
      <c r="A48" s="12"/>
      <c r="B48" s="6"/>
      <c r="C48" s="8"/>
      <c r="D48" s="8"/>
      <c r="E48" s="8"/>
    </row>
    <row r="49" spans="1:5" ht="16.5" x14ac:dyDescent="0.3">
      <c r="A49" s="11"/>
      <c r="B49" s="6"/>
      <c r="C49" s="8"/>
      <c r="D49" s="8"/>
      <c r="E49" s="8"/>
    </row>
    <row r="50" spans="1:5" ht="16.5" x14ac:dyDescent="0.3">
      <c r="A50" s="12"/>
      <c r="B50" s="6"/>
      <c r="C50" s="8"/>
      <c r="D50" s="8"/>
      <c r="E50" s="8"/>
    </row>
    <row r="51" spans="1:5" ht="16.5" x14ac:dyDescent="0.3">
      <c r="A51" s="11"/>
      <c r="B51" s="6"/>
      <c r="C51" s="8"/>
      <c r="D51" s="8"/>
      <c r="E51" s="8"/>
    </row>
    <row r="52" spans="1:5" ht="16.5" x14ac:dyDescent="0.3">
      <c r="A52" s="12"/>
      <c r="B52" s="6"/>
      <c r="C52" s="8"/>
      <c r="D52" s="8"/>
      <c r="E52" s="8"/>
    </row>
    <row r="53" spans="1:5" ht="16.5" x14ac:dyDescent="0.3">
      <c r="A53" s="11"/>
      <c r="B53" s="6"/>
      <c r="C53" s="8"/>
      <c r="D53" s="8"/>
      <c r="E53" s="8"/>
    </row>
    <row r="54" spans="1:5" ht="16.5" x14ac:dyDescent="0.3">
      <c r="A54" s="12"/>
      <c r="B54" s="6"/>
      <c r="C54" s="8"/>
      <c r="D54" s="8"/>
      <c r="E54" s="8"/>
    </row>
    <row r="55" spans="1:5" ht="16.5" x14ac:dyDescent="0.3">
      <c r="A55" s="11"/>
      <c r="B55" s="6"/>
      <c r="C55" s="8"/>
      <c r="D55" s="8"/>
      <c r="E55" s="8"/>
    </row>
    <row r="56" spans="1:5" ht="16.5" x14ac:dyDescent="0.3">
      <c r="A56" s="12"/>
      <c r="B56" s="6"/>
      <c r="C56" s="8"/>
      <c r="D56" s="8"/>
      <c r="E56" s="8"/>
    </row>
    <row r="57" spans="1:5" ht="16.5" x14ac:dyDescent="0.3">
      <c r="A57" s="11"/>
      <c r="B57" s="6"/>
      <c r="C57" s="8"/>
      <c r="D57" s="8"/>
      <c r="E57" s="8"/>
    </row>
    <row r="58" spans="1:5" ht="16.5" x14ac:dyDescent="0.3">
      <c r="A58" s="12"/>
      <c r="B58" s="6"/>
      <c r="C58" s="8"/>
      <c r="D58" s="8"/>
      <c r="E58" s="8"/>
    </row>
    <row r="59" spans="1:5" ht="16.5" x14ac:dyDescent="0.3">
      <c r="A59" s="11"/>
      <c r="B59" s="6"/>
      <c r="C59" s="8"/>
      <c r="D59" s="8"/>
      <c r="E59" s="8"/>
    </row>
    <row r="60" spans="1:5" ht="16.5" x14ac:dyDescent="0.3">
      <c r="A60" s="12"/>
      <c r="B60" s="6"/>
      <c r="C60" s="8"/>
      <c r="D60" s="8"/>
      <c r="E60" s="8"/>
    </row>
    <row r="61" spans="1:5" ht="16.5" x14ac:dyDescent="0.3">
      <c r="A61" s="11"/>
      <c r="B61" s="6"/>
      <c r="C61" s="8"/>
      <c r="D61" s="8"/>
      <c r="E61" s="8"/>
    </row>
    <row r="62" spans="1:5" ht="16.5" x14ac:dyDescent="0.3">
      <c r="A62" s="12"/>
      <c r="B62" s="6"/>
      <c r="C62" s="8"/>
      <c r="D62" s="8"/>
      <c r="E62" s="8"/>
    </row>
    <row r="63" spans="1:5" ht="16.5" x14ac:dyDescent="0.3">
      <c r="A63" s="11"/>
      <c r="B63" s="6"/>
      <c r="C63" s="8"/>
      <c r="D63" s="8"/>
      <c r="E63" s="8"/>
    </row>
    <row r="64" spans="1:5" ht="16.5" x14ac:dyDescent="0.3">
      <c r="A64" s="12"/>
      <c r="B64" s="6"/>
      <c r="C64" s="8"/>
      <c r="D64" s="8"/>
      <c r="E64" s="8"/>
    </row>
    <row r="65" spans="1:5" ht="16.5" x14ac:dyDescent="0.3">
      <c r="A65" s="11"/>
      <c r="B65" s="6"/>
      <c r="C65" s="8"/>
      <c r="D65" s="8"/>
      <c r="E65" s="8"/>
    </row>
    <row r="66" spans="1:5" ht="16.5" x14ac:dyDescent="0.3">
      <c r="A66" s="12"/>
      <c r="B66" s="6"/>
      <c r="C66" s="8"/>
      <c r="D66" s="8"/>
      <c r="E66" s="8"/>
    </row>
    <row r="67" spans="1:5" ht="16.5" x14ac:dyDescent="0.3">
      <c r="A67" s="11"/>
      <c r="B67" s="6"/>
      <c r="C67" s="8"/>
      <c r="D67" s="8"/>
      <c r="E67" s="8"/>
    </row>
    <row r="68" spans="1:5" ht="16.5" x14ac:dyDescent="0.3">
      <c r="A68" s="12"/>
      <c r="B68" s="6"/>
      <c r="C68" s="8"/>
      <c r="D68" s="8"/>
      <c r="E68" s="8"/>
    </row>
    <row r="69" spans="1:5" ht="16.5" x14ac:dyDescent="0.3">
      <c r="A69" s="11"/>
      <c r="B69" s="6"/>
      <c r="C69" s="8"/>
      <c r="D69" s="8"/>
      <c r="E69" s="8"/>
    </row>
    <row r="70" spans="1:5" ht="16.5" x14ac:dyDescent="0.3">
      <c r="A70" s="12"/>
      <c r="B70" s="6"/>
      <c r="C70" s="8"/>
      <c r="D70" s="8"/>
      <c r="E70" s="8"/>
    </row>
    <row r="71" spans="1:5" ht="16.5" x14ac:dyDescent="0.3">
      <c r="A71" s="11"/>
      <c r="B71" s="6"/>
      <c r="C71" s="8"/>
      <c r="D71" s="8"/>
      <c r="E71" s="8"/>
    </row>
    <row r="72" spans="1:5" ht="16.5" x14ac:dyDescent="0.3">
      <c r="A72" s="12"/>
      <c r="B72" s="6"/>
      <c r="C72" s="8"/>
      <c r="D72" s="8"/>
      <c r="E72" s="8"/>
    </row>
    <row r="73" spans="1:5" ht="16.5" x14ac:dyDescent="0.3">
      <c r="A73" s="11"/>
      <c r="B73" s="6"/>
      <c r="C73" s="8"/>
      <c r="D73" s="8"/>
      <c r="E73" s="8"/>
    </row>
    <row r="74" spans="1:5" ht="16.5" x14ac:dyDescent="0.3">
      <c r="A74" s="12"/>
      <c r="B74" s="6"/>
      <c r="C74" s="8"/>
      <c r="D74" s="8"/>
      <c r="E74" s="8"/>
    </row>
    <row r="75" spans="1:5" ht="16.5" x14ac:dyDescent="0.3">
      <c r="A75" s="11"/>
      <c r="B75" s="6"/>
      <c r="C75" s="8"/>
      <c r="D75" s="8"/>
      <c r="E75" s="8"/>
    </row>
    <row r="76" spans="1:5" ht="16.5" x14ac:dyDescent="0.3">
      <c r="A76" s="12"/>
      <c r="B76" s="6"/>
      <c r="C76" s="8"/>
      <c r="D76" s="8"/>
      <c r="E76" s="8"/>
    </row>
    <row r="77" spans="1:5" ht="16.5" x14ac:dyDescent="0.3">
      <c r="A77" s="11"/>
      <c r="B77" s="6"/>
      <c r="C77" s="8"/>
      <c r="D77" s="8"/>
      <c r="E77" s="8"/>
    </row>
    <row r="78" spans="1:5" ht="16.5" x14ac:dyDescent="0.3">
      <c r="A78" s="12"/>
      <c r="B78" s="6"/>
      <c r="C78" s="8"/>
      <c r="D78" s="8"/>
      <c r="E78" s="8"/>
    </row>
    <row r="79" spans="1:5" ht="16.5" x14ac:dyDescent="0.3">
      <c r="A79" s="11"/>
      <c r="B79" s="6"/>
      <c r="C79" s="8"/>
      <c r="D79" s="8"/>
      <c r="E79" s="8"/>
    </row>
    <row r="80" spans="1:5" ht="16.5" x14ac:dyDescent="0.3">
      <c r="A80" s="12"/>
      <c r="B80" s="6"/>
      <c r="C80" s="8"/>
      <c r="D80" s="8"/>
      <c r="E80" s="8"/>
    </row>
    <row r="81" spans="1:5" ht="16.5" x14ac:dyDescent="0.3">
      <c r="A81" s="11"/>
      <c r="B81" s="6"/>
      <c r="C81" s="8"/>
      <c r="D81" s="8"/>
      <c r="E81" s="8"/>
    </row>
    <row r="82" spans="1:5" ht="16.5" x14ac:dyDescent="0.3">
      <c r="A82" s="12"/>
      <c r="B82" s="6"/>
      <c r="C82" s="8"/>
      <c r="D82" s="8"/>
      <c r="E82" s="8"/>
    </row>
    <row r="83" spans="1:5" ht="16.5" x14ac:dyDescent="0.3">
      <c r="A83" s="11"/>
      <c r="B83" s="6"/>
      <c r="C83" s="8"/>
      <c r="D83" s="8"/>
      <c r="E83" s="8"/>
    </row>
    <row r="84" spans="1:5" ht="16.5" x14ac:dyDescent="0.3">
      <c r="A84" s="12"/>
      <c r="B84" s="6"/>
      <c r="C84" s="8"/>
      <c r="D84" s="8"/>
      <c r="E84" s="8"/>
    </row>
    <row r="85" spans="1:5" ht="16.5" x14ac:dyDescent="0.3">
      <c r="A85" s="11"/>
      <c r="B85" s="6"/>
      <c r="C85" s="8"/>
      <c r="D85" s="8"/>
      <c r="E85" s="8"/>
    </row>
    <row r="86" spans="1:5" ht="16.5" x14ac:dyDescent="0.3">
      <c r="A86" s="12"/>
      <c r="B86" s="6"/>
      <c r="C86" s="8"/>
      <c r="D86" s="8"/>
      <c r="E86" s="8"/>
    </row>
    <row r="87" spans="1:5" ht="16.5" x14ac:dyDescent="0.3">
      <c r="A87" s="11"/>
      <c r="B87" s="6"/>
      <c r="C87" s="8"/>
      <c r="D87" s="8"/>
      <c r="E87" s="8"/>
    </row>
    <row r="88" spans="1:5" ht="16.5" x14ac:dyDescent="0.3">
      <c r="A88" s="12"/>
      <c r="B88" s="6"/>
      <c r="C88" s="8"/>
      <c r="D88" s="8"/>
      <c r="E88" s="8"/>
    </row>
    <row r="89" spans="1:5" ht="16.5" x14ac:dyDescent="0.3">
      <c r="A89" s="11"/>
      <c r="B89" s="6"/>
      <c r="C89" s="8"/>
      <c r="D89" s="8"/>
      <c r="E89" s="8"/>
    </row>
    <row r="90" spans="1:5" ht="16.5" x14ac:dyDescent="0.3">
      <c r="A90" s="12"/>
      <c r="B90" s="6"/>
      <c r="C90" s="8"/>
      <c r="D90" s="8"/>
      <c r="E90" s="8"/>
    </row>
    <row r="91" spans="1:5" ht="16.5" x14ac:dyDescent="0.3">
      <c r="A91" s="11"/>
      <c r="B91" s="6"/>
      <c r="C91" s="8"/>
      <c r="D91" s="8"/>
      <c r="E91" s="8"/>
    </row>
    <row r="92" spans="1:5" ht="16.5" x14ac:dyDescent="0.3">
      <c r="A92" s="12"/>
      <c r="B92" s="6"/>
      <c r="C92" s="8"/>
      <c r="D92" s="8"/>
      <c r="E92" s="8"/>
    </row>
    <row r="93" spans="1:5" ht="16.5" x14ac:dyDescent="0.3">
      <c r="A93" s="11"/>
      <c r="B93" s="6"/>
      <c r="C93" s="8"/>
      <c r="D93" s="8"/>
      <c r="E93" s="8"/>
    </row>
    <row r="94" spans="1:5" ht="16.5" x14ac:dyDescent="0.3">
      <c r="A94" s="12"/>
      <c r="B94" s="6"/>
      <c r="C94" s="8"/>
      <c r="D94" s="8"/>
      <c r="E94" s="8"/>
    </row>
    <row r="95" spans="1:5" ht="16.5" x14ac:dyDescent="0.3">
      <c r="A95" s="11"/>
      <c r="B95" s="6"/>
      <c r="C95" s="8"/>
      <c r="D95" s="8"/>
      <c r="E95" s="8"/>
    </row>
    <row r="96" spans="1:5" ht="16.5" x14ac:dyDescent="0.3">
      <c r="A96" s="12"/>
      <c r="B96" s="6"/>
      <c r="C96" s="8"/>
      <c r="D96" s="8"/>
      <c r="E96" s="8"/>
    </row>
    <row r="97" spans="1:5" ht="16.5" x14ac:dyDescent="0.3">
      <c r="A97" s="11"/>
      <c r="B97" s="6"/>
      <c r="C97" s="8"/>
      <c r="D97" s="8"/>
      <c r="E97" s="8"/>
    </row>
    <row r="98" spans="1:5" ht="16.5" x14ac:dyDescent="0.3">
      <c r="A98" s="12"/>
      <c r="B98" s="6"/>
      <c r="C98" s="8"/>
      <c r="D98" s="8"/>
      <c r="E98" s="8"/>
    </row>
    <row r="99" spans="1:5" ht="16.5" x14ac:dyDescent="0.3">
      <c r="A99" s="11"/>
      <c r="B99" s="6"/>
      <c r="C99" s="8"/>
      <c r="D99" s="8"/>
      <c r="E99" s="8"/>
    </row>
    <row r="100" spans="1:5" ht="16.5" x14ac:dyDescent="0.3">
      <c r="A100" s="12"/>
      <c r="B100" s="6"/>
      <c r="C100" s="8"/>
      <c r="D100" s="8"/>
      <c r="E100" s="8"/>
    </row>
    <row r="101" spans="1:5" ht="16.5" x14ac:dyDescent="0.3">
      <c r="A101" s="11"/>
      <c r="B101" s="6"/>
      <c r="C101" s="8"/>
      <c r="D101" s="8"/>
      <c r="E101" s="8"/>
    </row>
    <row r="102" spans="1:5" ht="16.5" x14ac:dyDescent="0.3">
      <c r="A102" s="12"/>
      <c r="B102" s="6"/>
      <c r="C102" s="8"/>
      <c r="D102" s="8"/>
      <c r="E102" s="8"/>
    </row>
    <row r="103" spans="1:5" ht="16.5" x14ac:dyDescent="0.3">
      <c r="A103" s="11"/>
      <c r="B103" s="6"/>
      <c r="C103" s="8"/>
      <c r="D103" s="8"/>
      <c r="E103" s="8"/>
    </row>
    <row r="104" spans="1:5" ht="16.5" x14ac:dyDescent="0.3">
      <c r="A104" s="12"/>
      <c r="B104" s="6"/>
      <c r="C104" s="8"/>
      <c r="D104" s="8"/>
      <c r="E104" s="8"/>
    </row>
    <row r="105" spans="1:5" ht="16.5" x14ac:dyDescent="0.3">
      <c r="A105" s="11"/>
      <c r="B105" s="6"/>
      <c r="C105" s="8"/>
      <c r="D105" s="8"/>
      <c r="E105" s="8"/>
    </row>
    <row r="106" spans="1:5" ht="16.5" x14ac:dyDescent="0.3">
      <c r="A106" s="12"/>
      <c r="B106" s="6"/>
      <c r="C106" s="8"/>
      <c r="D106" s="8"/>
      <c r="E106" s="8"/>
    </row>
    <row r="107" spans="1:5" ht="16.5" x14ac:dyDescent="0.3">
      <c r="A107" s="11"/>
      <c r="B107" s="6"/>
      <c r="C107" s="8"/>
      <c r="D107" s="8"/>
      <c r="E107" s="8"/>
    </row>
    <row r="108" spans="1:5" ht="16.5" x14ac:dyDescent="0.3">
      <c r="A108" s="12"/>
      <c r="B108" s="6"/>
      <c r="C108" s="8"/>
      <c r="D108" s="8"/>
      <c r="E108" s="8"/>
    </row>
    <row r="109" spans="1:5" ht="16.5" x14ac:dyDescent="0.3">
      <c r="A109" s="11"/>
      <c r="B109" s="6"/>
      <c r="C109" s="8"/>
      <c r="D109" s="8"/>
      <c r="E109" s="8"/>
    </row>
    <row r="110" spans="1:5" ht="16.5" x14ac:dyDescent="0.3">
      <c r="A110" s="12"/>
      <c r="B110" s="6"/>
      <c r="C110" s="8"/>
      <c r="D110" s="8"/>
      <c r="E110" s="8"/>
    </row>
    <row r="111" spans="1:5" ht="16.5" x14ac:dyDescent="0.3">
      <c r="A111" s="11"/>
      <c r="B111" s="6"/>
      <c r="C111" s="8"/>
      <c r="D111" s="8"/>
      <c r="E111" s="8"/>
    </row>
    <row r="112" spans="1:5" ht="16.5" x14ac:dyDescent="0.3">
      <c r="A112" s="12"/>
      <c r="B112" s="6"/>
      <c r="C112" s="8"/>
      <c r="D112" s="8"/>
      <c r="E112" s="8"/>
    </row>
    <row r="113" spans="1:5" ht="16.5" x14ac:dyDescent="0.3">
      <c r="A113" s="11"/>
      <c r="B113" s="6"/>
      <c r="C113" s="8"/>
      <c r="D113" s="8"/>
      <c r="E113" s="8"/>
    </row>
    <row r="114" spans="1:5" ht="16.5" x14ac:dyDescent="0.3">
      <c r="A114" s="12"/>
      <c r="B114" s="6"/>
      <c r="C114" s="8"/>
      <c r="D114" s="8"/>
      <c r="E114" s="8"/>
    </row>
    <row r="115" spans="1:5" ht="16.5" x14ac:dyDescent="0.3">
      <c r="A115" s="11"/>
      <c r="B115" s="6"/>
      <c r="C115" s="8"/>
      <c r="D115" s="8"/>
      <c r="E115" s="8"/>
    </row>
    <row r="116" spans="1:5" ht="16.5" x14ac:dyDescent="0.3">
      <c r="A116" s="12"/>
      <c r="B116" s="6"/>
      <c r="C116" s="8"/>
      <c r="D116" s="8"/>
      <c r="E116" s="8"/>
    </row>
    <row r="117" spans="1:5" ht="16.5" x14ac:dyDescent="0.3">
      <c r="A117" s="11"/>
      <c r="B117" s="6"/>
      <c r="C117" s="8"/>
      <c r="D117" s="8"/>
      <c r="E117" s="8"/>
    </row>
    <row r="118" spans="1:5" ht="16.5" x14ac:dyDescent="0.3">
      <c r="A118" s="12"/>
      <c r="B118" s="6"/>
      <c r="C118" s="8"/>
      <c r="D118" s="8"/>
      <c r="E118" s="8"/>
    </row>
    <row r="119" spans="1:5" ht="16.5" x14ac:dyDescent="0.3">
      <c r="A119" s="11"/>
      <c r="B119" s="6"/>
      <c r="C119" s="8"/>
      <c r="D119" s="8"/>
      <c r="E119" s="8"/>
    </row>
    <row r="120" spans="1:5" ht="16.5" x14ac:dyDescent="0.3">
      <c r="A120" s="12"/>
      <c r="B120" s="6"/>
      <c r="C120" s="8"/>
      <c r="D120" s="8"/>
      <c r="E120" s="8"/>
    </row>
    <row r="121" spans="1:5" ht="16.5" x14ac:dyDescent="0.3">
      <c r="A121" s="11"/>
      <c r="B121" s="6"/>
      <c r="C121" s="8"/>
      <c r="D121" s="8"/>
      <c r="E121" s="8"/>
    </row>
    <row r="122" spans="1:5" ht="16.5" x14ac:dyDescent="0.3">
      <c r="A122" s="12"/>
      <c r="B122" s="6"/>
      <c r="C122" s="8"/>
      <c r="D122" s="8"/>
      <c r="E122" s="8"/>
    </row>
    <row r="123" spans="1:5" ht="16.5" x14ac:dyDescent="0.3">
      <c r="A123" s="11"/>
      <c r="B123" s="6"/>
      <c r="C123" s="8"/>
      <c r="D123" s="8"/>
      <c r="E123" s="8"/>
    </row>
    <row r="124" spans="1:5" ht="16.5" x14ac:dyDescent="0.3">
      <c r="A124" s="12"/>
      <c r="B124" s="6"/>
      <c r="C124" s="8"/>
      <c r="D124" s="8"/>
      <c r="E124" s="8"/>
    </row>
    <row r="125" spans="1:5" ht="16.5" x14ac:dyDescent="0.3">
      <c r="A125" s="11"/>
      <c r="B125" s="6"/>
      <c r="C125" s="8"/>
      <c r="D125" s="8"/>
      <c r="E125" s="8"/>
    </row>
    <row r="126" spans="1:5" ht="16.5" x14ac:dyDescent="0.3">
      <c r="A126" s="12"/>
      <c r="B126" s="6"/>
      <c r="C126" s="8"/>
      <c r="D126" s="8"/>
      <c r="E126" s="8"/>
    </row>
    <row r="127" spans="1:5" ht="16.5" x14ac:dyDescent="0.3">
      <c r="A127" s="11"/>
      <c r="B127" s="6"/>
      <c r="C127" s="8"/>
      <c r="D127" s="8"/>
      <c r="E127" s="8"/>
    </row>
    <row r="128" spans="1:5" ht="16.5" x14ac:dyDescent="0.3">
      <c r="A128" s="12"/>
      <c r="B128" s="6"/>
      <c r="C128" s="8"/>
      <c r="D128" s="8"/>
      <c r="E128" s="8"/>
    </row>
    <row r="129" spans="1:5" ht="16.5" x14ac:dyDescent="0.3">
      <c r="A129" s="11"/>
      <c r="B129" s="6"/>
      <c r="C129" s="8"/>
      <c r="D129" s="8"/>
      <c r="E129" s="8"/>
    </row>
    <row r="130" spans="1:5" ht="16.5" x14ac:dyDescent="0.3">
      <c r="A130" s="12"/>
      <c r="B130" s="6"/>
      <c r="C130" s="8"/>
      <c r="D130" s="8"/>
      <c r="E130" s="8"/>
    </row>
    <row r="131" spans="1:5" ht="16.5" x14ac:dyDescent="0.3">
      <c r="A131" s="11"/>
      <c r="B131" s="6"/>
      <c r="C131" s="8"/>
      <c r="D131" s="8"/>
      <c r="E131" s="8"/>
    </row>
    <row r="132" spans="1:5" ht="16.5" x14ac:dyDescent="0.3">
      <c r="A132" s="12"/>
      <c r="B132" s="6"/>
      <c r="C132" s="8"/>
      <c r="D132" s="8"/>
      <c r="E132" s="8"/>
    </row>
    <row r="133" spans="1:5" ht="16.5" x14ac:dyDescent="0.3">
      <c r="A133" s="11"/>
      <c r="B133" s="6"/>
      <c r="C133" s="8"/>
      <c r="D133" s="8"/>
      <c r="E133" s="8"/>
    </row>
    <row r="134" spans="1:5" ht="16.5" x14ac:dyDescent="0.3">
      <c r="A134" s="12"/>
      <c r="B134" s="6"/>
      <c r="C134" s="8"/>
      <c r="D134" s="8"/>
      <c r="E134" s="8"/>
    </row>
    <row r="135" spans="1:5" ht="16.5" x14ac:dyDescent="0.3">
      <c r="A135" s="11"/>
      <c r="B135" s="6"/>
      <c r="C135" s="8"/>
      <c r="D135" s="8"/>
      <c r="E135" s="8"/>
    </row>
    <row r="136" spans="1:5" ht="16.5" x14ac:dyDescent="0.3">
      <c r="A136" s="12"/>
      <c r="B136" s="6"/>
      <c r="C136" s="8"/>
      <c r="D136" s="8"/>
      <c r="E136" s="8"/>
    </row>
    <row r="137" spans="1:5" ht="16.5" x14ac:dyDescent="0.3">
      <c r="A137" s="11"/>
      <c r="B137" s="6"/>
      <c r="C137" s="8"/>
      <c r="D137" s="8"/>
      <c r="E137" s="8"/>
    </row>
    <row r="138" spans="1:5" ht="16.5" x14ac:dyDescent="0.3">
      <c r="A138" s="12"/>
      <c r="B138" s="6"/>
      <c r="C138" s="8"/>
      <c r="D138" s="8"/>
      <c r="E138" s="8"/>
    </row>
    <row r="139" spans="1:5" ht="16.5" x14ac:dyDescent="0.3">
      <c r="A139" s="11"/>
      <c r="B139" s="6"/>
      <c r="C139" s="8"/>
      <c r="D139" s="8"/>
      <c r="E139" s="8"/>
    </row>
    <row r="140" spans="1:5" ht="16.5" x14ac:dyDescent="0.3">
      <c r="A140" s="12"/>
      <c r="B140" s="6"/>
      <c r="C140" s="8"/>
      <c r="D140" s="8"/>
      <c r="E140" s="8"/>
    </row>
    <row r="141" spans="1:5" ht="16.5" x14ac:dyDescent="0.3">
      <c r="A141" s="11"/>
      <c r="B141" s="6"/>
      <c r="C141" s="8"/>
      <c r="D141" s="8"/>
      <c r="E141" s="8"/>
    </row>
    <row r="142" spans="1:5" ht="16.5" x14ac:dyDescent="0.3">
      <c r="A142" s="12"/>
      <c r="B142" s="6"/>
      <c r="C142" s="8"/>
      <c r="D142" s="8"/>
      <c r="E142" s="8"/>
    </row>
    <row r="143" spans="1:5" ht="16.5" x14ac:dyDescent="0.3">
      <c r="A143" s="11"/>
      <c r="B143" s="6"/>
      <c r="C143" s="8"/>
      <c r="D143" s="8"/>
      <c r="E143" s="8"/>
    </row>
    <row r="144" spans="1:5" ht="16.5" x14ac:dyDescent="0.3">
      <c r="A144" s="12"/>
      <c r="B144" s="6"/>
      <c r="C144" s="8"/>
      <c r="D144" s="8"/>
      <c r="E144" s="8"/>
    </row>
    <row r="145" spans="1:5" ht="16.5" x14ac:dyDescent="0.3">
      <c r="A145" s="11"/>
      <c r="B145" s="6"/>
      <c r="C145" s="8"/>
      <c r="D145" s="8"/>
      <c r="E145" s="8"/>
    </row>
    <row r="146" spans="1:5" ht="16.5" x14ac:dyDescent="0.3">
      <c r="A146" s="12"/>
      <c r="B146" s="6"/>
      <c r="C146" s="8"/>
      <c r="D146" s="8"/>
      <c r="E146" s="8"/>
    </row>
    <row r="147" spans="1:5" ht="16.5" x14ac:dyDescent="0.3">
      <c r="A147" s="11"/>
      <c r="B147" s="6"/>
      <c r="C147" s="8"/>
      <c r="D147" s="8"/>
      <c r="E147" s="8"/>
    </row>
    <row r="148" spans="1:5" ht="16.5" x14ac:dyDescent="0.3">
      <c r="A148" s="12"/>
      <c r="B148" s="6"/>
      <c r="C148" s="8"/>
      <c r="D148" s="8"/>
      <c r="E148" s="8"/>
    </row>
    <row r="149" spans="1:5" ht="16.5" x14ac:dyDescent="0.3">
      <c r="A149" s="11"/>
      <c r="B149" s="6"/>
      <c r="C149" s="8"/>
      <c r="D149" s="8"/>
      <c r="E149" s="8"/>
    </row>
    <row r="150" spans="1:5" ht="16.5" x14ac:dyDescent="0.3">
      <c r="A150" s="12"/>
      <c r="B150" s="6"/>
      <c r="C150" s="8"/>
      <c r="D150" s="8"/>
      <c r="E150" s="8"/>
    </row>
    <row r="151" spans="1:5" ht="16.5" x14ac:dyDescent="0.3">
      <c r="A151" s="11"/>
      <c r="B151" s="6"/>
      <c r="C151" s="8"/>
      <c r="D151" s="8"/>
      <c r="E151" s="8"/>
    </row>
    <row r="152" spans="1:5" ht="16.5" x14ac:dyDescent="0.3">
      <c r="A152" s="12"/>
      <c r="B152" s="6"/>
      <c r="C152" s="8"/>
      <c r="D152" s="8"/>
      <c r="E152" s="8"/>
    </row>
    <row r="153" spans="1:5" ht="16.5" x14ac:dyDescent="0.3">
      <c r="A153" s="11"/>
      <c r="B153" s="6"/>
      <c r="C153" s="8"/>
      <c r="D153" s="8"/>
      <c r="E153" s="8"/>
    </row>
    <row r="154" spans="1:5" ht="16.5" x14ac:dyDescent="0.3">
      <c r="A154" s="12"/>
      <c r="B154" s="6"/>
      <c r="C154" s="8"/>
      <c r="D154" s="8"/>
      <c r="E154" s="8"/>
    </row>
    <row r="155" spans="1:5" ht="16.5" x14ac:dyDescent="0.3">
      <c r="A155" s="11"/>
      <c r="B155" s="6"/>
      <c r="C155" s="8"/>
      <c r="D155" s="8"/>
      <c r="E155" s="8"/>
    </row>
    <row r="156" spans="1:5" ht="16.5" x14ac:dyDescent="0.3">
      <c r="A156" s="12"/>
      <c r="B156" s="6"/>
      <c r="C156" s="8"/>
      <c r="D156" s="8"/>
      <c r="E156" s="8"/>
    </row>
    <row r="157" spans="1:5" ht="16.5" x14ac:dyDescent="0.3">
      <c r="A157" s="11"/>
      <c r="B157" s="6"/>
      <c r="C157" s="8"/>
      <c r="D157" s="8"/>
      <c r="E157" s="8"/>
    </row>
    <row r="158" spans="1:5" ht="16.5" x14ac:dyDescent="0.3">
      <c r="A158" s="12"/>
      <c r="B158" s="6"/>
      <c r="C158" s="8"/>
      <c r="D158" s="8"/>
      <c r="E158" s="8"/>
    </row>
    <row r="159" spans="1:5" ht="16.5" x14ac:dyDescent="0.3">
      <c r="A159" s="11"/>
      <c r="B159" s="6"/>
      <c r="C159" s="8"/>
      <c r="D159" s="8"/>
      <c r="E159" s="8"/>
    </row>
    <row r="160" spans="1:5" ht="16.5" x14ac:dyDescent="0.3">
      <c r="A160" s="12"/>
      <c r="B160" s="6"/>
      <c r="C160" s="8"/>
      <c r="D160" s="8"/>
      <c r="E160" s="8"/>
    </row>
    <row r="161" spans="1:5" ht="16.5" x14ac:dyDescent="0.3">
      <c r="A161" s="11"/>
      <c r="B161" s="6"/>
      <c r="C161" s="8"/>
      <c r="D161" s="8"/>
      <c r="E161" s="8"/>
    </row>
    <row r="162" spans="1:5" ht="16.5" x14ac:dyDescent="0.3">
      <c r="A162" s="12"/>
      <c r="B162" s="6"/>
      <c r="C162" s="8"/>
      <c r="D162" s="8"/>
      <c r="E162" s="8"/>
    </row>
    <row r="163" spans="1:5" ht="16.5" x14ac:dyDescent="0.3">
      <c r="A163" s="11"/>
      <c r="B163" s="6"/>
      <c r="C163" s="8"/>
      <c r="D163" s="8"/>
      <c r="E163" s="8"/>
    </row>
    <row r="164" spans="1:5" ht="16.5" x14ac:dyDescent="0.3">
      <c r="A164" s="12"/>
      <c r="B164" s="6"/>
      <c r="C164" s="8"/>
      <c r="D164" s="8"/>
      <c r="E164" s="8"/>
    </row>
    <row r="165" spans="1:5" ht="16.5" x14ac:dyDescent="0.3">
      <c r="A165" s="11"/>
      <c r="B165" s="6"/>
      <c r="C165" s="8"/>
      <c r="D165" s="8"/>
      <c r="E165" s="8"/>
    </row>
    <row r="166" spans="1:5" ht="16.5" x14ac:dyDescent="0.3">
      <c r="A166" s="12"/>
      <c r="B166" s="6"/>
      <c r="C166" s="8"/>
      <c r="D166" s="8"/>
      <c r="E166" s="8"/>
    </row>
    <row r="167" spans="1:5" ht="16.5" x14ac:dyDescent="0.3">
      <c r="A167" s="11"/>
      <c r="B167" s="6"/>
      <c r="C167" s="8"/>
      <c r="D167" s="8"/>
      <c r="E167" s="8"/>
    </row>
    <row r="168" spans="1:5" ht="16.5" x14ac:dyDescent="0.3">
      <c r="A168" s="12"/>
      <c r="B168" s="6"/>
      <c r="C168" s="8"/>
      <c r="D168" s="8"/>
      <c r="E168" s="8"/>
    </row>
    <row r="169" spans="1:5" ht="16.5" x14ac:dyDescent="0.3">
      <c r="A169" s="11"/>
      <c r="B169" s="6"/>
      <c r="C169" s="8"/>
      <c r="D169" s="8"/>
      <c r="E169" s="8"/>
    </row>
    <row r="170" spans="1:5" ht="16.5" x14ac:dyDescent="0.3">
      <c r="A170" s="12"/>
      <c r="B170" s="6"/>
      <c r="C170" s="8"/>
      <c r="D170" s="8"/>
      <c r="E170" s="8"/>
    </row>
    <row r="171" spans="1:5" ht="16.5" x14ac:dyDescent="0.3">
      <c r="A171" s="11"/>
      <c r="B171" s="6"/>
      <c r="C171" s="8"/>
      <c r="D171" s="8"/>
      <c r="E171" s="8"/>
    </row>
    <row r="172" spans="1:5" ht="16.5" x14ac:dyDescent="0.3">
      <c r="A172" s="12"/>
      <c r="B172" s="6"/>
      <c r="C172" s="8"/>
      <c r="D172" s="8"/>
      <c r="E172" s="8"/>
    </row>
    <row r="173" spans="1:5" ht="16.5" x14ac:dyDescent="0.3">
      <c r="A173" s="11"/>
      <c r="B173" s="6"/>
      <c r="C173" s="8"/>
      <c r="D173" s="8"/>
      <c r="E173" s="8"/>
    </row>
    <row r="174" spans="1:5" ht="16.5" x14ac:dyDescent="0.3">
      <c r="A174" s="12"/>
      <c r="B174" s="6"/>
      <c r="C174" s="8"/>
      <c r="D174" s="8"/>
      <c r="E174" s="8"/>
    </row>
    <row r="175" spans="1:5" ht="16.5" x14ac:dyDescent="0.3">
      <c r="A175" s="11"/>
      <c r="B175" s="6"/>
      <c r="C175" s="8"/>
      <c r="D175" s="8"/>
      <c r="E175" s="8"/>
    </row>
    <row r="176" spans="1:5" ht="16.5" x14ac:dyDescent="0.3">
      <c r="A176" s="12"/>
      <c r="B176" s="6"/>
      <c r="C176" s="8"/>
      <c r="D176" s="8"/>
      <c r="E176" s="8"/>
    </row>
    <row r="177" spans="1:5" ht="16.5" x14ac:dyDescent="0.3">
      <c r="A177" s="11"/>
      <c r="B177" s="6"/>
      <c r="C177" s="8"/>
      <c r="D177" s="8"/>
      <c r="E177" s="8"/>
    </row>
    <row r="178" spans="1:5" ht="16.5" x14ac:dyDescent="0.3">
      <c r="A178" s="12"/>
      <c r="B178" s="6"/>
      <c r="C178" s="8"/>
      <c r="D178" s="8"/>
      <c r="E178" s="8"/>
    </row>
    <row r="179" spans="1:5" ht="16.5" x14ac:dyDescent="0.3">
      <c r="A179" s="11"/>
      <c r="B179" s="6"/>
      <c r="C179" s="8"/>
      <c r="D179" s="8"/>
      <c r="E179" s="8"/>
    </row>
    <row r="180" spans="1:5" ht="16.5" x14ac:dyDescent="0.3">
      <c r="A180" s="12"/>
      <c r="B180" s="6"/>
      <c r="C180" s="8"/>
      <c r="D180" s="8"/>
      <c r="E180" s="8"/>
    </row>
    <row r="181" spans="1:5" ht="16.5" x14ac:dyDescent="0.3">
      <c r="A181" s="11"/>
      <c r="B181" s="6"/>
      <c r="C181" s="8"/>
      <c r="D181" s="8"/>
      <c r="E181" s="8"/>
    </row>
    <row r="182" spans="1:5" ht="16.5" x14ac:dyDescent="0.3">
      <c r="A182" s="12"/>
      <c r="B182" s="6"/>
      <c r="C182" s="8"/>
      <c r="D182" s="8"/>
      <c r="E182" s="8"/>
    </row>
    <row r="183" spans="1:5" ht="16.5" x14ac:dyDescent="0.3">
      <c r="A183" s="11"/>
      <c r="B183" s="6"/>
      <c r="C183" s="8"/>
      <c r="D183" s="8"/>
      <c r="E183" s="8"/>
    </row>
    <row r="184" spans="1:5" ht="16.5" x14ac:dyDescent="0.3">
      <c r="A184" s="12"/>
      <c r="B184" s="6"/>
      <c r="C184" s="8"/>
      <c r="D184" s="8"/>
      <c r="E184" s="8"/>
    </row>
    <row r="185" spans="1:5" ht="16.5" x14ac:dyDescent="0.3">
      <c r="A185" s="11"/>
      <c r="B185" s="6"/>
      <c r="C185" s="8"/>
      <c r="D185" s="8"/>
      <c r="E185" s="8"/>
    </row>
    <row r="186" spans="1:5" ht="16.5" x14ac:dyDescent="0.3">
      <c r="A186" s="12"/>
      <c r="B186" s="6"/>
      <c r="C186" s="8"/>
      <c r="D186" s="8"/>
      <c r="E186" s="8"/>
    </row>
    <row r="187" spans="1:5" ht="16.5" x14ac:dyDescent="0.3">
      <c r="A187" s="11"/>
      <c r="B187" s="6"/>
      <c r="C187" s="8"/>
      <c r="D187" s="8"/>
      <c r="E187" s="8"/>
    </row>
    <row r="188" spans="1:5" ht="16.5" x14ac:dyDescent="0.3">
      <c r="A188" s="12"/>
      <c r="B188" s="6"/>
      <c r="C188" s="8"/>
      <c r="D188" s="8"/>
      <c r="E188" s="8"/>
    </row>
    <row r="189" spans="1:5" ht="16.5" x14ac:dyDescent="0.3">
      <c r="A189" s="11"/>
      <c r="B189" s="6"/>
      <c r="C189" s="8"/>
      <c r="D189" s="8"/>
      <c r="E189" s="8"/>
    </row>
    <row r="190" spans="1:5" ht="16.5" x14ac:dyDescent="0.3">
      <c r="A190" s="12"/>
      <c r="B190" s="6"/>
      <c r="C190" s="8"/>
      <c r="D190" s="8"/>
      <c r="E190" s="8"/>
    </row>
    <row r="191" spans="1:5" ht="16.5" x14ac:dyDescent="0.3">
      <c r="A191" s="11"/>
      <c r="B191" s="6"/>
      <c r="C191" s="8"/>
      <c r="D191" s="8"/>
      <c r="E191" s="8"/>
    </row>
    <row r="192" spans="1:5" ht="16.5" x14ac:dyDescent="0.3">
      <c r="A192" s="12"/>
      <c r="B192" s="6"/>
      <c r="C192" s="8"/>
      <c r="D192" s="8"/>
      <c r="E192" s="8"/>
    </row>
    <row r="193" spans="1:5" ht="16.5" x14ac:dyDescent="0.3">
      <c r="A193" s="11"/>
      <c r="B193" s="6"/>
      <c r="C193" s="8"/>
      <c r="D193" s="8"/>
      <c r="E193" s="8"/>
    </row>
    <row r="194" spans="1:5" ht="16.5" x14ac:dyDescent="0.3">
      <c r="A194" s="12"/>
      <c r="B194" s="6"/>
      <c r="C194" s="8"/>
      <c r="D194" s="8"/>
      <c r="E194" s="8"/>
    </row>
    <row r="195" spans="1:5" ht="16.5" x14ac:dyDescent="0.3">
      <c r="A195" s="11"/>
      <c r="B195" s="6"/>
      <c r="C195" s="8"/>
      <c r="D195" s="8"/>
      <c r="E195" s="8"/>
    </row>
    <row r="196" spans="1:5" ht="16.5" x14ac:dyDescent="0.3">
      <c r="A196" s="12"/>
      <c r="B196" s="6"/>
      <c r="C196" s="8"/>
      <c r="D196" s="8"/>
      <c r="E196" s="8"/>
    </row>
    <row r="197" spans="1:5" ht="16.5" x14ac:dyDescent="0.3">
      <c r="A197" s="11"/>
      <c r="B197" s="6"/>
      <c r="C197" s="8"/>
      <c r="D197" s="8"/>
      <c r="E197" s="8"/>
    </row>
    <row r="198" spans="1:5" ht="16.5" x14ac:dyDescent="0.3">
      <c r="A198" s="12"/>
      <c r="B198" s="6"/>
      <c r="C198" s="8"/>
      <c r="D198" s="8"/>
      <c r="E198" s="8"/>
    </row>
    <row r="199" spans="1:5" ht="16.5" x14ac:dyDescent="0.3">
      <c r="A199" s="11"/>
      <c r="B199" s="6"/>
      <c r="C199" s="8"/>
      <c r="D199" s="8"/>
      <c r="E199" s="8"/>
    </row>
    <row r="200" spans="1:5" ht="16.5" x14ac:dyDescent="0.3">
      <c r="A200" s="12"/>
      <c r="B200" s="6"/>
      <c r="C200" s="8"/>
      <c r="D200" s="8"/>
      <c r="E200" s="8"/>
    </row>
    <row r="201" spans="1:5" ht="16.5" x14ac:dyDescent="0.3">
      <c r="A201" s="11"/>
      <c r="B201" s="6"/>
      <c r="C201" s="8"/>
      <c r="D201" s="8"/>
      <c r="E201" s="8"/>
    </row>
    <row r="202" spans="1:5" ht="16.5" x14ac:dyDescent="0.3">
      <c r="A202" s="12"/>
      <c r="B202" s="6"/>
      <c r="C202" s="8"/>
      <c r="D202" s="8"/>
      <c r="E202" s="8"/>
    </row>
    <row r="203" spans="1:5" ht="16.5" x14ac:dyDescent="0.3">
      <c r="A203" s="11"/>
      <c r="B203" s="6"/>
      <c r="C203" s="8"/>
      <c r="D203" s="8"/>
      <c r="E203" s="8"/>
    </row>
    <row r="204" spans="1:5" ht="16.5" x14ac:dyDescent="0.3">
      <c r="A204" s="12"/>
      <c r="B204" s="6"/>
      <c r="C204" s="8"/>
      <c r="D204" s="8"/>
      <c r="E204" s="8"/>
    </row>
    <row r="205" spans="1:5" ht="16.5" x14ac:dyDescent="0.3">
      <c r="A205" s="11"/>
      <c r="B205" s="6"/>
      <c r="C205" s="8"/>
      <c r="D205" s="8"/>
      <c r="E205" s="8"/>
    </row>
    <row r="206" spans="1:5" ht="16.5" x14ac:dyDescent="0.3">
      <c r="A206" s="12"/>
      <c r="B206" s="6"/>
      <c r="C206" s="8"/>
      <c r="D206" s="8"/>
      <c r="E206" s="8"/>
    </row>
    <row r="207" spans="1:5" ht="16.5" x14ac:dyDescent="0.3">
      <c r="A207" s="11"/>
      <c r="B207" s="6"/>
      <c r="C207" s="8"/>
      <c r="D207" s="8"/>
      <c r="E207" s="8"/>
    </row>
    <row r="208" spans="1:5" ht="16.5" x14ac:dyDescent="0.3">
      <c r="A208" s="12"/>
      <c r="B208" s="6"/>
      <c r="C208" s="8"/>
      <c r="D208" s="8"/>
      <c r="E208" s="8"/>
    </row>
    <row r="209" spans="1:5" ht="16.5" x14ac:dyDescent="0.3">
      <c r="A209" s="11"/>
      <c r="B209" s="6"/>
      <c r="C209" s="8"/>
      <c r="D209" s="8"/>
      <c r="E209" s="8"/>
    </row>
    <row r="210" spans="1:5" ht="16.5" x14ac:dyDescent="0.3">
      <c r="A210" s="12"/>
      <c r="B210" s="6"/>
      <c r="C210" s="8"/>
      <c r="D210" s="8"/>
      <c r="E210" s="8"/>
    </row>
    <row r="211" spans="1:5" ht="16.5" x14ac:dyDescent="0.3">
      <c r="A211" s="11"/>
      <c r="B211" s="6"/>
      <c r="C211" s="8"/>
      <c r="D211" s="8"/>
      <c r="E211" s="8"/>
    </row>
    <row r="212" spans="1:5" ht="16.5" x14ac:dyDescent="0.3">
      <c r="A212" s="12"/>
      <c r="B212" s="6"/>
      <c r="C212" s="8"/>
      <c r="D212" s="8"/>
      <c r="E212" s="8"/>
    </row>
    <row r="213" spans="1:5" ht="16.5" x14ac:dyDescent="0.3">
      <c r="A213" s="11"/>
      <c r="B213" s="6"/>
      <c r="C213" s="8"/>
      <c r="D213" s="8"/>
      <c r="E213" s="8"/>
    </row>
    <row r="214" spans="1:5" ht="16.5" x14ac:dyDescent="0.3">
      <c r="A214" s="12"/>
      <c r="B214" s="6"/>
      <c r="C214" s="8"/>
      <c r="D214" s="8"/>
      <c r="E214" s="8"/>
    </row>
    <row r="215" spans="1:5" ht="16.5" x14ac:dyDescent="0.3">
      <c r="A215" s="11"/>
      <c r="B215" s="6"/>
      <c r="C215" s="8"/>
      <c r="D215" s="8"/>
      <c r="E215" s="8"/>
    </row>
    <row r="216" spans="1:5" ht="16.5" x14ac:dyDescent="0.3">
      <c r="A216" s="12"/>
      <c r="B216" s="6"/>
      <c r="C216" s="8"/>
      <c r="D216" s="8"/>
      <c r="E216" s="8"/>
    </row>
    <row r="217" spans="1:5" ht="16.5" x14ac:dyDescent="0.3">
      <c r="A217" s="11"/>
      <c r="B217" s="6"/>
      <c r="C217" s="8"/>
      <c r="D217" s="8"/>
      <c r="E217" s="8"/>
    </row>
    <row r="218" spans="1:5" ht="16.5" x14ac:dyDescent="0.3">
      <c r="A218" s="12"/>
      <c r="B218" s="6"/>
      <c r="C218" s="8"/>
      <c r="D218" s="8"/>
      <c r="E218" s="8"/>
    </row>
    <row r="219" spans="1:5" ht="16.5" x14ac:dyDescent="0.3">
      <c r="A219" s="11"/>
      <c r="B219" s="6"/>
      <c r="C219" s="8"/>
      <c r="D219" s="8"/>
      <c r="E219" s="8"/>
    </row>
    <row r="220" spans="1:5" ht="16.5" x14ac:dyDescent="0.3">
      <c r="A220" s="12"/>
      <c r="B220" s="6"/>
      <c r="C220" s="8"/>
      <c r="D220" s="8"/>
      <c r="E220" s="8"/>
    </row>
    <row r="221" spans="1:5" ht="16.5" x14ac:dyDescent="0.3">
      <c r="A221" s="11"/>
      <c r="B221" s="6"/>
      <c r="C221" s="8"/>
      <c r="D221" s="8"/>
      <c r="E221" s="8"/>
    </row>
    <row r="222" spans="1:5" ht="16.5" x14ac:dyDescent="0.3">
      <c r="A222" s="12"/>
      <c r="B222" s="6"/>
      <c r="C222" s="8"/>
      <c r="D222" s="8"/>
      <c r="E222" s="8"/>
    </row>
    <row r="223" spans="1:5" ht="16.5" x14ac:dyDescent="0.3">
      <c r="A223" s="11"/>
      <c r="B223" s="6"/>
      <c r="C223" s="8"/>
      <c r="D223" s="8"/>
      <c r="E223" s="8"/>
    </row>
    <row r="224" spans="1:5" ht="16.5" x14ac:dyDescent="0.3">
      <c r="A224" s="12"/>
      <c r="B224" s="6"/>
      <c r="C224" s="8"/>
      <c r="D224" s="8"/>
      <c r="E224" s="8"/>
    </row>
    <row r="225" spans="1:5" ht="16.5" x14ac:dyDescent="0.3">
      <c r="A225" s="11"/>
      <c r="B225" s="6"/>
      <c r="C225" s="8"/>
      <c r="D225" s="8"/>
      <c r="E225" s="8"/>
    </row>
    <row r="226" spans="1:5" ht="16.5" x14ac:dyDescent="0.3">
      <c r="A226" s="12"/>
      <c r="B226" s="6"/>
      <c r="C226" s="8"/>
      <c r="D226" s="8"/>
      <c r="E226" s="8"/>
    </row>
    <row r="227" spans="1:5" ht="16.5" x14ac:dyDescent="0.3">
      <c r="A227" s="11"/>
      <c r="B227" s="6"/>
      <c r="C227" s="8"/>
      <c r="D227" s="8"/>
      <c r="E227" s="8"/>
    </row>
    <row r="228" spans="1:5" ht="16.5" x14ac:dyDescent="0.3">
      <c r="A228" s="12"/>
      <c r="B228" s="6"/>
      <c r="C228" s="8"/>
      <c r="D228" s="8"/>
      <c r="E228" s="8"/>
    </row>
    <row r="229" spans="1:5" ht="16.5" x14ac:dyDescent="0.3">
      <c r="A229" s="11"/>
      <c r="B229" s="6"/>
      <c r="C229" s="8"/>
      <c r="D229" s="8"/>
      <c r="E229" s="8"/>
    </row>
    <row r="230" spans="1:5" ht="16.5" x14ac:dyDescent="0.3">
      <c r="A230" s="12"/>
      <c r="B230" s="6"/>
      <c r="C230" s="8"/>
      <c r="D230" s="8"/>
      <c r="E230" s="8"/>
    </row>
    <row r="231" spans="1:5" ht="16.5" x14ac:dyDescent="0.3">
      <c r="A231" s="11"/>
      <c r="B231" s="6"/>
      <c r="C231" s="8"/>
      <c r="D231" s="8"/>
      <c r="E231" s="8"/>
    </row>
    <row r="232" spans="1:5" ht="16.5" x14ac:dyDescent="0.3">
      <c r="A232" s="12"/>
      <c r="B232" s="6"/>
      <c r="C232" s="8"/>
      <c r="D232" s="8"/>
      <c r="E232" s="8"/>
    </row>
    <row r="233" spans="1:5" ht="16.5" x14ac:dyDescent="0.3">
      <c r="A233" s="11"/>
      <c r="B233" s="6"/>
      <c r="C233" s="8"/>
      <c r="D233" s="8"/>
      <c r="E233" s="8"/>
    </row>
    <row r="234" spans="1:5" ht="16.5" x14ac:dyDescent="0.3">
      <c r="A234" s="12"/>
      <c r="B234" s="6"/>
      <c r="C234" s="8"/>
      <c r="D234" s="8"/>
      <c r="E234" s="8"/>
    </row>
    <row r="235" spans="1:5" ht="16.5" x14ac:dyDescent="0.3">
      <c r="A235" s="11"/>
      <c r="B235" s="6"/>
      <c r="C235" s="8"/>
      <c r="D235" s="8"/>
      <c r="E235" s="8"/>
    </row>
    <row r="236" spans="1:5" ht="16.5" x14ac:dyDescent="0.3">
      <c r="A236" s="12"/>
      <c r="B236" s="6"/>
      <c r="C236" s="8"/>
      <c r="D236" s="8"/>
      <c r="E236" s="8"/>
    </row>
    <row r="237" spans="1:5" ht="16.5" x14ac:dyDescent="0.3">
      <c r="A237" s="11"/>
      <c r="B237" s="6"/>
      <c r="C237" s="8"/>
      <c r="D237" s="8"/>
      <c r="E237" s="8"/>
    </row>
    <row r="238" spans="1:5" ht="16.5" x14ac:dyDescent="0.3">
      <c r="A238" s="12"/>
      <c r="B238" s="6"/>
      <c r="C238" s="8"/>
      <c r="D238" s="8"/>
      <c r="E238" s="8"/>
    </row>
    <row r="239" spans="1:5" ht="16.5" x14ac:dyDescent="0.3">
      <c r="A239" s="11"/>
      <c r="B239" s="6"/>
      <c r="C239" s="8"/>
      <c r="D239" s="8"/>
      <c r="E239" s="8"/>
    </row>
    <row r="240" spans="1:5" ht="16.5" x14ac:dyDescent="0.3">
      <c r="A240" s="12"/>
      <c r="B240" s="6"/>
      <c r="C240" s="8"/>
      <c r="D240" s="8"/>
      <c r="E240" s="8"/>
    </row>
    <row r="241" spans="1:5" ht="16.5" x14ac:dyDescent="0.3">
      <c r="A241" s="11"/>
      <c r="B241" s="6"/>
      <c r="C241" s="8"/>
      <c r="D241" s="8"/>
      <c r="E241" s="8"/>
    </row>
    <row r="242" spans="1:5" ht="16.5" x14ac:dyDescent="0.3">
      <c r="A242" s="12"/>
      <c r="B242" s="6"/>
      <c r="C242" s="8"/>
      <c r="D242" s="8"/>
      <c r="E242" s="8"/>
    </row>
    <row r="243" spans="1:5" ht="16.5" x14ac:dyDescent="0.3">
      <c r="A243" s="11"/>
      <c r="B243" s="6"/>
      <c r="C243" s="8"/>
      <c r="D243" s="8"/>
      <c r="E243" s="8"/>
    </row>
    <row r="244" spans="1:5" ht="16.5" x14ac:dyDescent="0.3">
      <c r="A244" s="12"/>
      <c r="B244" s="6"/>
      <c r="C244" s="8"/>
      <c r="D244" s="8"/>
      <c r="E244" s="8"/>
    </row>
    <row r="245" spans="1:5" ht="16.5" x14ac:dyDescent="0.3">
      <c r="A245" s="11"/>
      <c r="B245" s="6"/>
      <c r="C245" s="8"/>
      <c r="D245" s="8"/>
      <c r="E245" s="8"/>
    </row>
    <row r="246" spans="1:5" ht="16.5" x14ac:dyDescent="0.3">
      <c r="A246" s="12"/>
      <c r="B246" s="6"/>
      <c r="C246" s="8"/>
      <c r="D246" s="8"/>
      <c r="E246" s="8"/>
    </row>
    <row r="247" spans="1:5" ht="16.5" x14ac:dyDescent="0.3">
      <c r="A247" s="11"/>
      <c r="B247" s="6"/>
      <c r="C247" s="8"/>
      <c r="D247" s="8"/>
      <c r="E247" s="8"/>
    </row>
    <row r="248" spans="1:5" ht="16.5" x14ac:dyDescent="0.3">
      <c r="A248" s="12"/>
      <c r="B248" s="6"/>
      <c r="C248" s="8"/>
      <c r="D248" s="8"/>
      <c r="E248" s="8"/>
    </row>
    <row r="249" spans="1:5" ht="16.5" x14ac:dyDescent="0.3">
      <c r="A249" s="11"/>
      <c r="B249" s="6"/>
      <c r="C249" s="8"/>
      <c r="D249" s="8"/>
      <c r="E249" s="8"/>
    </row>
    <row r="250" spans="1:5" ht="16.5" x14ac:dyDescent="0.3">
      <c r="A250" s="12"/>
      <c r="B250" s="6"/>
      <c r="C250" s="8"/>
      <c r="D250" s="8"/>
      <c r="E250" s="8"/>
    </row>
    <row r="251" spans="1:5" ht="16.5" x14ac:dyDescent="0.3">
      <c r="A251" s="11"/>
      <c r="B251" s="6"/>
      <c r="C251" s="8"/>
      <c r="D251" s="8"/>
      <c r="E251" s="8"/>
    </row>
    <row r="252" spans="1:5" ht="16.5" x14ac:dyDescent="0.3">
      <c r="A252" s="12"/>
      <c r="B252" s="6"/>
      <c r="C252" s="8"/>
      <c r="D252" s="8"/>
      <c r="E252" s="8"/>
    </row>
    <row r="253" spans="1:5" ht="16.5" x14ac:dyDescent="0.3">
      <c r="A253" s="11"/>
      <c r="B253" s="6"/>
      <c r="C253" s="8"/>
      <c r="D253" s="8"/>
      <c r="E253" s="8"/>
    </row>
    <row r="254" spans="1:5" ht="16.5" x14ac:dyDescent="0.3">
      <c r="A254" s="12"/>
      <c r="B254" s="6"/>
      <c r="C254" s="8"/>
      <c r="D254" s="8"/>
      <c r="E254" s="8"/>
    </row>
    <row r="255" spans="1:5" ht="16.5" x14ac:dyDescent="0.3">
      <c r="A255" s="11"/>
      <c r="B255" s="6"/>
      <c r="C255" s="8"/>
      <c r="D255" s="8"/>
      <c r="E255" s="8"/>
    </row>
    <row r="256" spans="1:5" ht="16.5" x14ac:dyDescent="0.3">
      <c r="A256" s="12"/>
      <c r="B256" s="6"/>
      <c r="C256" s="8"/>
      <c r="D256" s="8"/>
      <c r="E256" s="8"/>
    </row>
    <row r="257" spans="1:5" ht="16.5" x14ac:dyDescent="0.3">
      <c r="A257" s="11"/>
      <c r="B257" s="6"/>
      <c r="C257" s="8"/>
      <c r="D257" s="8"/>
      <c r="E257" s="8"/>
    </row>
    <row r="258" spans="1:5" ht="16.5" x14ac:dyDescent="0.3">
      <c r="A258" s="12"/>
      <c r="B258" s="6"/>
      <c r="C258" s="8"/>
      <c r="D258" s="8"/>
      <c r="E258" s="8"/>
    </row>
    <row r="259" spans="1:5" ht="16.5" x14ac:dyDescent="0.3">
      <c r="A259" s="11"/>
      <c r="B259" s="6"/>
      <c r="C259" s="8"/>
      <c r="D259" s="8"/>
      <c r="E259" s="8"/>
    </row>
    <row r="260" spans="1:5" ht="16.5" x14ac:dyDescent="0.3">
      <c r="A260" s="12"/>
      <c r="B260" s="6"/>
      <c r="C260" s="8"/>
      <c r="D260" s="8"/>
      <c r="E260" s="8"/>
    </row>
    <row r="261" spans="1:5" ht="16.5" x14ac:dyDescent="0.3">
      <c r="A261" s="11"/>
      <c r="B261" s="6"/>
      <c r="C261" s="8"/>
      <c r="D261" s="8"/>
      <c r="E261" s="8"/>
    </row>
    <row r="262" spans="1:5" ht="16.5" x14ac:dyDescent="0.3">
      <c r="A262" s="12"/>
      <c r="B262" s="6"/>
      <c r="C262" s="8"/>
      <c r="D262" s="8"/>
      <c r="E262" s="8"/>
    </row>
    <row r="263" spans="1:5" ht="16.5" x14ac:dyDescent="0.3">
      <c r="A263" s="11"/>
      <c r="B263" s="6"/>
      <c r="C263" s="8"/>
      <c r="D263" s="8"/>
      <c r="E263" s="8"/>
    </row>
    <row r="264" spans="1:5" ht="16.5" x14ac:dyDescent="0.3">
      <c r="A264" s="12"/>
      <c r="B264" s="6"/>
      <c r="C264" s="8"/>
      <c r="D264" s="8"/>
      <c r="E264" s="8"/>
    </row>
    <row r="265" spans="1:5" ht="16.5" x14ac:dyDescent="0.3">
      <c r="A265" s="11"/>
      <c r="B265" s="6"/>
      <c r="C265" s="8"/>
      <c r="D265" s="8"/>
      <c r="E265" s="8"/>
    </row>
    <row r="266" spans="1:5" ht="16.5" x14ac:dyDescent="0.3">
      <c r="A266" s="12"/>
      <c r="B266" s="6"/>
      <c r="C266" s="8"/>
      <c r="D266" s="8"/>
      <c r="E266" s="8"/>
    </row>
    <row r="267" spans="1:5" ht="16.5" x14ac:dyDescent="0.3">
      <c r="A267" s="11"/>
      <c r="B267" s="6"/>
      <c r="C267" s="8"/>
      <c r="D267" s="8"/>
      <c r="E267" s="8"/>
    </row>
    <row r="268" spans="1:5" ht="16.5" x14ac:dyDescent="0.3">
      <c r="A268" s="12"/>
      <c r="B268" s="6"/>
      <c r="C268" s="8"/>
      <c r="D268" s="8"/>
      <c r="E268" s="8"/>
    </row>
    <row r="269" spans="1:5" ht="16.5" x14ac:dyDescent="0.3">
      <c r="A269" s="11"/>
      <c r="B269" s="6"/>
      <c r="C269" s="8"/>
      <c r="D269" s="8"/>
      <c r="E269" s="8"/>
    </row>
    <row r="270" spans="1:5" ht="16.5" x14ac:dyDescent="0.3">
      <c r="A270" s="12"/>
      <c r="B270" s="6"/>
      <c r="C270" s="8"/>
      <c r="D270" s="8"/>
      <c r="E270" s="8"/>
    </row>
    <row r="271" spans="1:5" ht="16.5" x14ac:dyDescent="0.3">
      <c r="A271" s="11"/>
      <c r="B271" s="6"/>
      <c r="C271" s="8"/>
      <c r="D271" s="8"/>
      <c r="E271" s="8"/>
    </row>
    <row r="272" spans="1:5" ht="16.5" x14ac:dyDescent="0.3">
      <c r="A272" s="12"/>
      <c r="B272" s="6"/>
      <c r="C272" s="8"/>
      <c r="D272" s="8"/>
      <c r="E272" s="8"/>
    </row>
    <row r="273" spans="1:5" ht="16.5" x14ac:dyDescent="0.3">
      <c r="A273" s="11"/>
      <c r="B273" s="6"/>
      <c r="C273" s="8"/>
      <c r="D273" s="8"/>
      <c r="E273" s="8"/>
    </row>
    <row r="274" spans="1:5" ht="16.5" x14ac:dyDescent="0.3">
      <c r="A274" s="12"/>
      <c r="B274" s="6"/>
      <c r="C274" s="8"/>
      <c r="D274" s="8"/>
      <c r="E274" s="8"/>
    </row>
    <row r="275" spans="1:5" ht="16.5" x14ac:dyDescent="0.3">
      <c r="A275" s="11"/>
      <c r="B275" s="6"/>
      <c r="C275" s="8"/>
      <c r="D275" s="8"/>
      <c r="E275" s="8"/>
    </row>
    <row r="276" spans="1:5" ht="16.5" x14ac:dyDescent="0.3">
      <c r="A276" s="12"/>
      <c r="B276" s="6"/>
      <c r="C276" s="8"/>
      <c r="D276" s="8"/>
      <c r="E276" s="8"/>
    </row>
    <row r="277" spans="1:5" ht="16.5" x14ac:dyDescent="0.3">
      <c r="A277" s="11"/>
      <c r="B277" s="6"/>
      <c r="C277" s="8"/>
      <c r="D277" s="8"/>
      <c r="E277" s="8"/>
    </row>
    <row r="278" spans="1:5" ht="16.5" x14ac:dyDescent="0.3">
      <c r="A278" s="12"/>
      <c r="B278" s="6"/>
      <c r="C278" s="8"/>
      <c r="D278" s="8"/>
      <c r="E278" s="8"/>
    </row>
    <row r="279" spans="1:5" ht="16.5" x14ac:dyDescent="0.3">
      <c r="A279" s="11"/>
      <c r="B279" s="6"/>
      <c r="C279" s="8"/>
      <c r="D279" s="8"/>
      <c r="E279" s="8"/>
    </row>
    <row r="280" spans="1:5" ht="16.5" x14ac:dyDescent="0.3">
      <c r="A280" s="12"/>
      <c r="B280" s="6"/>
      <c r="C280" s="8"/>
      <c r="D280" s="8"/>
      <c r="E280" s="8"/>
    </row>
    <row r="281" spans="1:5" ht="16.5" x14ac:dyDescent="0.3">
      <c r="A281" s="11"/>
      <c r="B281" s="6"/>
      <c r="C281" s="8"/>
      <c r="D281" s="8"/>
      <c r="E281" s="8"/>
    </row>
    <row r="282" spans="1:5" ht="16.5" x14ac:dyDescent="0.3">
      <c r="A282" s="12"/>
      <c r="B282" s="6"/>
      <c r="C282" s="8"/>
      <c r="D282" s="8"/>
      <c r="E282" s="8"/>
    </row>
    <row r="283" spans="1:5" ht="16.5" x14ac:dyDescent="0.3">
      <c r="A283" s="11"/>
      <c r="B283" s="6"/>
      <c r="C283" s="8"/>
      <c r="D283" s="8"/>
      <c r="E283" s="8"/>
    </row>
    <row r="284" spans="1:5" ht="16.5" x14ac:dyDescent="0.3">
      <c r="A284" s="12"/>
      <c r="B284" s="6"/>
      <c r="C284" s="8"/>
      <c r="D284" s="8"/>
      <c r="E284" s="8"/>
    </row>
    <row r="285" spans="1:5" ht="16.5" x14ac:dyDescent="0.3">
      <c r="A285" s="11"/>
      <c r="B285" s="6"/>
      <c r="C285" s="8"/>
      <c r="D285" s="8"/>
      <c r="E285" s="8"/>
    </row>
    <row r="286" spans="1:5" ht="16.5" x14ac:dyDescent="0.3">
      <c r="A286" s="12"/>
      <c r="B286" s="6"/>
      <c r="C286" s="8"/>
      <c r="D286" s="8"/>
      <c r="E286" s="8"/>
    </row>
    <row r="287" spans="1:5" ht="16.5" x14ac:dyDescent="0.3">
      <c r="A287" s="11"/>
      <c r="B287" s="6"/>
      <c r="C287" s="8"/>
      <c r="D287" s="8"/>
      <c r="E287" s="8"/>
    </row>
    <row r="288" spans="1:5" ht="16.5" x14ac:dyDescent="0.3">
      <c r="A288" s="12"/>
      <c r="B288" s="6"/>
      <c r="C288" s="8"/>
      <c r="D288" s="8"/>
      <c r="E288" s="8"/>
    </row>
    <row r="289" spans="1:5" ht="16.5" x14ac:dyDescent="0.3">
      <c r="A289" s="11"/>
      <c r="B289" s="6"/>
      <c r="C289" s="8"/>
      <c r="D289" s="8"/>
      <c r="E289" s="8"/>
    </row>
    <row r="290" spans="1:5" ht="16.5" x14ac:dyDescent="0.3">
      <c r="A290" s="12"/>
      <c r="B290" s="6"/>
      <c r="C290" s="8"/>
      <c r="D290" s="8"/>
      <c r="E290" s="8"/>
    </row>
    <row r="291" spans="1:5" ht="16.5" x14ac:dyDescent="0.3">
      <c r="A291" s="11"/>
      <c r="B291" s="6"/>
      <c r="C291" s="8"/>
      <c r="D291" s="8"/>
      <c r="E291" s="8"/>
    </row>
    <row r="292" spans="1:5" ht="16.5" x14ac:dyDescent="0.3">
      <c r="A292" s="12"/>
      <c r="B292" s="6"/>
      <c r="C292" s="8"/>
      <c r="D292" s="8"/>
      <c r="E292" s="8"/>
    </row>
    <row r="293" spans="1:5" ht="16.5" x14ac:dyDescent="0.3">
      <c r="A293" s="11"/>
      <c r="B293" s="6"/>
      <c r="C293" s="8"/>
      <c r="D293" s="8"/>
      <c r="E293" s="8"/>
    </row>
    <row r="294" spans="1:5" ht="16.5" x14ac:dyDescent="0.3">
      <c r="A294" s="12"/>
      <c r="B294" s="6"/>
      <c r="C294" s="8"/>
      <c r="D294" s="8"/>
      <c r="E294" s="8"/>
    </row>
    <row r="295" spans="1:5" ht="16.5" x14ac:dyDescent="0.3">
      <c r="A295" s="11"/>
      <c r="B295" s="6"/>
      <c r="C295" s="8"/>
      <c r="D295" s="8"/>
      <c r="E295" s="8"/>
    </row>
    <row r="296" spans="1:5" ht="16.5" x14ac:dyDescent="0.3">
      <c r="A296" s="12"/>
      <c r="B296" s="6"/>
      <c r="C296" s="8"/>
      <c r="D296" s="8"/>
      <c r="E296" s="8"/>
    </row>
    <row r="297" spans="1:5" ht="16.5" x14ac:dyDescent="0.3">
      <c r="A297" s="11"/>
      <c r="B297" s="6"/>
      <c r="C297" s="8"/>
      <c r="D297" s="8"/>
      <c r="E297" s="8"/>
    </row>
    <row r="298" spans="1:5" ht="16.5" x14ac:dyDescent="0.3">
      <c r="A298" s="12"/>
      <c r="B298" s="6"/>
      <c r="C298" s="8"/>
      <c r="D298" s="8"/>
      <c r="E298" s="8"/>
    </row>
    <row r="299" spans="1:5" ht="16.5" x14ac:dyDescent="0.3">
      <c r="A299" s="11"/>
      <c r="B299" s="6"/>
      <c r="C299" s="8"/>
      <c r="D299" s="8"/>
      <c r="E299" s="8"/>
    </row>
    <row r="300" spans="1:5" ht="16.5" x14ac:dyDescent="0.3">
      <c r="A300" s="12"/>
      <c r="B300" s="6"/>
      <c r="C300" s="8"/>
      <c r="D300" s="8"/>
      <c r="E300" s="8"/>
    </row>
    <row r="301" spans="1:5" ht="16.5" x14ac:dyDescent="0.3">
      <c r="A301" s="11"/>
      <c r="B301" s="6"/>
      <c r="C301" s="8"/>
      <c r="D301" s="8"/>
      <c r="E301" s="8"/>
    </row>
    <row r="302" spans="1:5" ht="16.5" x14ac:dyDescent="0.3">
      <c r="A302" s="12"/>
      <c r="B302" s="6"/>
      <c r="C302" s="8"/>
      <c r="D302" s="8"/>
      <c r="E302" s="8"/>
    </row>
    <row r="303" spans="1:5" ht="16.5" x14ac:dyDescent="0.3">
      <c r="A303" s="11"/>
      <c r="B303" s="6"/>
      <c r="C303" s="8"/>
      <c r="D303" s="8"/>
      <c r="E303" s="8"/>
    </row>
    <row r="304" spans="1:5" ht="16.5" x14ac:dyDescent="0.3">
      <c r="A304" s="12"/>
      <c r="B304" s="6"/>
      <c r="C304" s="8"/>
      <c r="D304" s="8"/>
      <c r="E304" s="8"/>
    </row>
    <row r="305" spans="1:5" ht="16.5" x14ac:dyDescent="0.3">
      <c r="A305" s="11"/>
      <c r="B305" s="6"/>
      <c r="C305" s="8"/>
      <c r="D305" s="8"/>
      <c r="E305" s="8"/>
    </row>
    <row r="306" spans="1:5" ht="16.5" x14ac:dyDescent="0.3">
      <c r="A306" s="12"/>
      <c r="B306" s="6"/>
      <c r="C306" s="8"/>
      <c r="D306" s="8"/>
      <c r="E306" s="8"/>
    </row>
    <row r="307" spans="1:5" ht="16.5" x14ac:dyDescent="0.3">
      <c r="A307" s="11"/>
      <c r="B307" s="6"/>
      <c r="C307" s="8"/>
      <c r="D307" s="8"/>
      <c r="E307" s="8"/>
    </row>
    <row r="308" spans="1:5" ht="16.5" x14ac:dyDescent="0.3">
      <c r="A308" s="12"/>
      <c r="B308" s="6"/>
      <c r="C308" s="8"/>
      <c r="D308" s="8"/>
      <c r="E308" s="8"/>
    </row>
    <row r="309" spans="1:5" ht="16.5" x14ac:dyDescent="0.3">
      <c r="A309" s="11"/>
      <c r="B309" s="6"/>
      <c r="C309" s="8"/>
      <c r="D309" s="8"/>
      <c r="E309" s="8"/>
    </row>
    <row r="310" spans="1:5" ht="16.5" x14ac:dyDescent="0.3">
      <c r="A310" s="12"/>
      <c r="B310" s="6"/>
      <c r="C310" s="8"/>
      <c r="D310" s="8"/>
      <c r="E310" s="8"/>
    </row>
    <row r="311" spans="1:5" ht="16.5" x14ac:dyDescent="0.3">
      <c r="A311" s="11"/>
      <c r="B311" s="6"/>
      <c r="C311" s="8"/>
      <c r="D311" s="8"/>
      <c r="E311" s="8"/>
    </row>
    <row r="312" spans="1:5" ht="16.5" x14ac:dyDescent="0.3">
      <c r="A312" s="12"/>
      <c r="B312" s="6"/>
      <c r="C312" s="8"/>
      <c r="D312" s="8"/>
      <c r="E312" s="8"/>
    </row>
    <row r="313" spans="1:5" ht="16.5" x14ac:dyDescent="0.3">
      <c r="A313" s="11"/>
      <c r="B313" s="6"/>
      <c r="C313" s="8"/>
      <c r="D313" s="8"/>
      <c r="E313" s="8"/>
    </row>
    <row r="314" spans="1:5" ht="16.5" x14ac:dyDescent="0.3">
      <c r="A314" s="12"/>
      <c r="B314" s="6"/>
      <c r="C314" s="8"/>
      <c r="D314" s="8"/>
      <c r="E314" s="8"/>
    </row>
    <row r="315" spans="1:5" ht="16.5" x14ac:dyDescent="0.3">
      <c r="A315" s="11"/>
      <c r="B315" s="6"/>
      <c r="C315" s="8"/>
      <c r="D315" s="8"/>
      <c r="E315" s="8"/>
    </row>
    <row r="316" spans="1:5" ht="16.5" x14ac:dyDescent="0.3">
      <c r="A316" s="12"/>
      <c r="B316" s="6"/>
      <c r="C316" s="8"/>
      <c r="D316" s="8"/>
      <c r="E316" s="8"/>
    </row>
    <row r="317" spans="1:5" ht="16.5" x14ac:dyDescent="0.3">
      <c r="A317" s="11"/>
      <c r="B317" s="6"/>
      <c r="C317" s="8"/>
      <c r="D317" s="8"/>
      <c r="E317" s="8"/>
    </row>
    <row r="318" spans="1:5" ht="16.5" x14ac:dyDescent="0.3">
      <c r="A318" s="12"/>
      <c r="B318" s="6"/>
      <c r="C318" s="8"/>
      <c r="D318" s="8"/>
      <c r="E318" s="8"/>
    </row>
    <row r="319" spans="1:5" ht="16.5" x14ac:dyDescent="0.3">
      <c r="A319" s="11"/>
      <c r="B319" s="6"/>
      <c r="C319" s="8"/>
      <c r="D319" s="8"/>
      <c r="E319" s="8"/>
    </row>
    <row r="320" spans="1:5" ht="16.5" x14ac:dyDescent="0.3">
      <c r="A320" s="12"/>
      <c r="B320" s="6"/>
      <c r="C320" s="8"/>
      <c r="D320" s="8"/>
      <c r="E320" s="8"/>
    </row>
    <row r="321" spans="1:5" ht="16.5" x14ac:dyDescent="0.3">
      <c r="A321" s="11"/>
      <c r="B321" s="6"/>
      <c r="C321" s="8"/>
      <c r="D321" s="8"/>
      <c r="E321" s="8"/>
    </row>
    <row r="322" spans="1:5" ht="16.5" x14ac:dyDescent="0.3">
      <c r="A322" s="12"/>
      <c r="B322" s="6"/>
      <c r="C322" s="8"/>
      <c r="D322" s="8"/>
      <c r="E322" s="8"/>
    </row>
    <row r="323" spans="1:5" ht="16.5" x14ac:dyDescent="0.3">
      <c r="A323" s="11"/>
      <c r="B323" s="6"/>
      <c r="C323" s="8"/>
      <c r="D323" s="8"/>
      <c r="E323" s="8"/>
    </row>
    <row r="324" spans="1:5" ht="16.5" x14ac:dyDescent="0.3">
      <c r="A324" s="12"/>
      <c r="B324" s="6"/>
      <c r="C324" s="8"/>
      <c r="D324" s="8"/>
      <c r="E324" s="8"/>
    </row>
    <row r="325" spans="1:5" ht="16.5" x14ac:dyDescent="0.3">
      <c r="A325" s="11"/>
      <c r="B325" s="6"/>
      <c r="C325" s="8"/>
      <c r="D325" s="8"/>
      <c r="E325" s="8"/>
    </row>
    <row r="326" spans="1:5" ht="16.5" x14ac:dyDescent="0.3">
      <c r="A326" s="12"/>
      <c r="B326" s="6"/>
      <c r="C326" s="8"/>
      <c r="D326" s="8"/>
      <c r="E326" s="8"/>
    </row>
    <row r="327" spans="1:5" ht="16.5" x14ac:dyDescent="0.3">
      <c r="A327" s="11"/>
      <c r="B327" s="6"/>
      <c r="C327" s="8"/>
      <c r="D327" s="8"/>
      <c r="E327" s="8"/>
    </row>
    <row r="328" spans="1:5" ht="16.5" x14ac:dyDescent="0.3">
      <c r="A328" s="12"/>
      <c r="B328" s="6"/>
      <c r="C328" s="8"/>
      <c r="D328" s="8"/>
      <c r="E328" s="8"/>
    </row>
    <row r="329" spans="1:5" ht="16.5" x14ac:dyDescent="0.3">
      <c r="A329" s="11"/>
      <c r="B329" s="6"/>
      <c r="C329" s="8"/>
      <c r="D329" s="8"/>
      <c r="E329" s="8"/>
    </row>
    <row r="330" spans="1:5" ht="16.5" x14ac:dyDescent="0.3">
      <c r="A330" s="12"/>
      <c r="B330" s="6"/>
      <c r="C330" s="8"/>
      <c r="D330" s="8"/>
      <c r="E330" s="8"/>
    </row>
    <row r="331" spans="1:5" ht="16.5" x14ac:dyDescent="0.3">
      <c r="A331" s="11"/>
      <c r="B331" s="6"/>
      <c r="C331" s="8"/>
      <c r="D331" s="8"/>
      <c r="E331" s="8"/>
    </row>
    <row r="332" spans="1:5" ht="16.5" x14ac:dyDescent="0.3">
      <c r="A332" s="12"/>
      <c r="B332" s="6"/>
      <c r="C332" s="8"/>
      <c r="D332" s="8"/>
      <c r="E332" s="8"/>
    </row>
    <row r="333" spans="1:5" ht="16.5" x14ac:dyDescent="0.3">
      <c r="A333" s="11"/>
      <c r="B333" s="6"/>
      <c r="C333" s="8"/>
      <c r="D333" s="8"/>
      <c r="E333" s="8"/>
    </row>
    <row r="334" spans="1:5" ht="16.5" x14ac:dyDescent="0.3">
      <c r="A334" s="12"/>
      <c r="B334" s="6"/>
      <c r="C334" s="8"/>
      <c r="D334" s="8"/>
      <c r="E334" s="8"/>
    </row>
    <row r="335" spans="1:5" ht="16.5" x14ac:dyDescent="0.3">
      <c r="A335" s="11"/>
      <c r="B335" s="6"/>
      <c r="C335" s="8"/>
      <c r="D335" s="8"/>
      <c r="E335" s="8"/>
    </row>
    <row r="336" spans="1:5" ht="16.5" x14ac:dyDescent="0.3">
      <c r="A336" s="12"/>
      <c r="B336" s="6"/>
      <c r="C336" s="8"/>
      <c r="D336" s="8"/>
      <c r="E336" s="8"/>
    </row>
    <row r="337" spans="1:5" ht="16.5" x14ac:dyDescent="0.3">
      <c r="A337" s="11"/>
      <c r="B337" s="6"/>
      <c r="C337" s="8"/>
      <c r="D337" s="8"/>
      <c r="E337" s="8"/>
    </row>
    <row r="338" spans="1:5" ht="16.5" x14ac:dyDescent="0.3">
      <c r="A338" s="12"/>
      <c r="B338" s="6"/>
      <c r="C338" s="8"/>
      <c r="D338" s="8"/>
      <c r="E338" s="8"/>
    </row>
    <row r="339" spans="1:5" ht="16.5" x14ac:dyDescent="0.3">
      <c r="A339" s="11"/>
      <c r="B339" s="6"/>
      <c r="C339" s="8"/>
      <c r="D339" s="8"/>
      <c r="E339" s="8"/>
    </row>
    <row r="340" spans="1:5" ht="16.5" x14ac:dyDescent="0.3">
      <c r="A340" s="12"/>
      <c r="B340" s="6"/>
      <c r="C340" s="8"/>
      <c r="D340" s="8"/>
      <c r="E340" s="8"/>
    </row>
    <row r="341" spans="1:5" ht="16.5" x14ac:dyDescent="0.3">
      <c r="A341" s="11"/>
      <c r="B341" s="6"/>
      <c r="C341" s="8"/>
      <c r="D341" s="8"/>
      <c r="E341" s="8"/>
    </row>
    <row r="342" spans="1:5" ht="16.5" x14ac:dyDescent="0.3">
      <c r="A342" s="12"/>
      <c r="B342" s="6"/>
      <c r="C342" s="8"/>
      <c r="D342" s="8"/>
      <c r="E342" s="8"/>
    </row>
    <row r="343" spans="1:5" ht="16.5" x14ac:dyDescent="0.3">
      <c r="A343" s="11"/>
      <c r="B343" s="6"/>
      <c r="C343" s="8"/>
      <c r="D343" s="8"/>
      <c r="E343" s="8"/>
    </row>
    <row r="344" spans="1:5" ht="16.5" x14ac:dyDescent="0.3">
      <c r="A344" s="12"/>
      <c r="B344" s="6"/>
      <c r="C344" s="8"/>
      <c r="D344" s="8"/>
      <c r="E344" s="8"/>
    </row>
    <row r="345" spans="1:5" ht="16.5" x14ac:dyDescent="0.3">
      <c r="A345" s="11"/>
      <c r="B345" s="6"/>
      <c r="C345" s="8"/>
      <c r="D345" s="8"/>
      <c r="E345" s="8"/>
    </row>
    <row r="346" spans="1:5" ht="16.5" x14ac:dyDescent="0.3">
      <c r="A346" s="12"/>
      <c r="B346" s="6"/>
      <c r="C346" s="8"/>
      <c r="D346" s="8"/>
      <c r="E346" s="8"/>
    </row>
    <row r="347" spans="1:5" ht="16.5" x14ac:dyDescent="0.3">
      <c r="A347" s="11"/>
      <c r="B347" s="6"/>
      <c r="C347" s="8"/>
      <c r="D347" s="8"/>
      <c r="E347" s="8"/>
    </row>
    <row r="348" spans="1:5" ht="16.5" x14ac:dyDescent="0.3">
      <c r="A348" s="12"/>
      <c r="B348" s="6"/>
      <c r="C348" s="8"/>
      <c r="D348" s="8"/>
      <c r="E348" s="8"/>
    </row>
    <row r="349" spans="1:5" ht="16.5" x14ac:dyDescent="0.3">
      <c r="A349" s="11"/>
      <c r="B349" s="6"/>
      <c r="C349" s="8"/>
      <c r="D349" s="8"/>
      <c r="E349" s="8"/>
    </row>
    <row r="350" spans="1:5" ht="16.5" x14ac:dyDescent="0.3">
      <c r="A350" s="12"/>
      <c r="B350" s="6"/>
      <c r="C350" s="8"/>
      <c r="D350" s="8"/>
      <c r="E350" s="8"/>
    </row>
    <row r="351" spans="1:5" ht="16.5" x14ac:dyDescent="0.3">
      <c r="A351" s="11"/>
      <c r="B351" s="6"/>
      <c r="C351" s="8"/>
      <c r="D351" s="8"/>
      <c r="E351" s="8"/>
    </row>
    <row r="352" spans="1:5" ht="16.5" x14ac:dyDescent="0.3">
      <c r="A352" s="12"/>
      <c r="B352" s="6"/>
      <c r="C352" s="8"/>
      <c r="D352" s="8"/>
      <c r="E352" s="8"/>
    </row>
    <row r="353" spans="1:5" ht="16.5" x14ac:dyDescent="0.3">
      <c r="A353" s="11"/>
      <c r="B353" s="6"/>
      <c r="C353" s="8"/>
      <c r="D353" s="8"/>
      <c r="E353" s="8"/>
    </row>
    <row r="354" spans="1:5" ht="16.5" x14ac:dyDescent="0.3">
      <c r="A354" s="12"/>
      <c r="B354" s="6"/>
      <c r="C354" s="8"/>
      <c r="D354" s="8"/>
      <c r="E354" s="8"/>
    </row>
    <row r="355" spans="1:5" ht="16.5" x14ac:dyDescent="0.3">
      <c r="A355" s="11"/>
      <c r="B355" s="6"/>
      <c r="C355" s="8"/>
      <c r="D355" s="8"/>
      <c r="E355" s="8"/>
    </row>
    <row r="356" spans="1:5" ht="16.5" x14ac:dyDescent="0.3">
      <c r="A356" s="12"/>
      <c r="B356" s="6"/>
      <c r="C356" s="8"/>
      <c r="D356" s="8"/>
      <c r="E356" s="8"/>
    </row>
    <row r="357" spans="1:5" ht="16.5" x14ac:dyDescent="0.3">
      <c r="A357" s="11"/>
      <c r="B357" s="6"/>
      <c r="C357" s="8"/>
      <c r="D357" s="8"/>
      <c r="E357" s="8"/>
    </row>
    <row r="358" spans="1:5" ht="16.5" x14ac:dyDescent="0.3">
      <c r="A358" s="12"/>
      <c r="B358" s="6"/>
      <c r="C358" s="8"/>
      <c r="D358" s="8"/>
      <c r="E358" s="8"/>
    </row>
    <row r="359" spans="1:5" ht="16.5" x14ac:dyDescent="0.3">
      <c r="A359" s="11"/>
      <c r="B359" s="6"/>
      <c r="C359" s="8"/>
      <c r="D359" s="8"/>
      <c r="E359" s="8"/>
    </row>
    <row r="360" spans="1:5" ht="16.5" x14ac:dyDescent="0.3">
      <c r="A360" s="12"/>
      <c r="B360" s="6"/>
      <c r="C360" s="8"/>
      <c r="D360" s="8"/>
      <c r="E360" s="8"/>
    </row>
    <row r="361" spans="1:5" ht="16.5" x14ac:dyDescent="0.3">
      <c r="A361" s="11"/>
      <c r="B361" s="6"/>
      <c r="C361" s="8"/>
      <c r="D361" s="8"/>
      <c r="E361" s="8"/>
    </row>
    <row r="362" spans="1:5" ht="16.5" x14ac:dyDescent="0.3">
      <c r="A362" s="12"/>
      <c r="B362" s="6"/>
      <c r="C362" s="8"/>
      <c r="D362" s="8"/>
      <c r="E362" s="8"/>
    </row>
    <row r="363" spans="1:5" ht="16.5" x14ac:dyDescent="0.3">
      <c r="A363" s="11"/>
      <c r="B363" s="6"/>
      <c r="C363" s="8"/>
      <c r="D363" s="8"/>
      <c r="E363" s="8"/>
    </row>
    <row r="364" spans="1:5" ht="16.5" x14ac:dyDescent="0.3">
      <c r="A364" s="12"/>
      <c r="B364" s="6"/>
      <c r="C364" s="8"/>
      <c r="D364" s="8"/>
      <c r="E364" s="8"/>
    </row>
    <row r="365" spans="1:5" ht="16.5" x14ac:dyDescent="0.3">
      <c r="A365" s="11"/>
      <c r="B365" s="6"/>
      <c r="C365" s="8"/>
      <c r="D365" s="8"/>
      <c r="E365" s="8"/>
    </row>
    <row r="366" spans="1:5" ht="16.5" x14ac:dyDescent="0.3">
      <c r="A366" s="12"/>
      <c r="B366" s="6"/>
      <c r="C366" s="8"/>
      <c r="D366" s="8"/>
      <c r="E366" s="8"/>
    </row>
    <row r="367" spans="1:5" ht="16.5" x14ac:dyDescent="0.3">
      <c r="A367" s="11"/>
      <c r="B367" s="6"/>
      <c r="C367" s="8"/>
      <c r="D367" s="8"/>
      <c r="E367" s="8"/>
    </row>
    <row r="368" spans="1:5" ht="16.5" x14ac:dyDescent="0.3">
      <c r="A368" s="12"/>
      <c r="B368" s="6"/>
      <c r="C368" s="8"/>
      <c r="D368" s="8"/>
      <c r="E368" s="8"/>
    </row>
    <row r="369" spans="1:5" ht="16.5" x14ac:dyDescent="0.3">
      <c r="A369" s="11"/>
      <c r="B369" s="6"/>
      <c r="C369" s="8"/>
      <c r="D369" s="8"/>
      <c r="E369" s="8"/>
    </row>
    <row r="370" spans="1:5" ht="16.5" x14ac:dyDescent="0.3">
      <c r="A370" s="12"/>
      <c r="B370" s="6"/>
      <c r="C370" s="8"/>
      <c r="D370" s="8"/>
      <c r="E370" s="8"/>
    </row>
    <row r="371" spans="1:5" ht="16.5" x14ac:dyDescent="0.3">
      <c r="A371" s="11"/>
      <c r="B371" s="6"/>
      <c r="C371" s="8"/>
      <c r="D371" s="8"/>
      <c r="E371" s="8"/>
    </row>
    <row r="372" spans="1:5" ht="16.5" x14ac:dyDescent="0.3">
      <c r="A372" s="12"/>
      <c r="B372" s="6"/>
      <c r="C372" s="8"/>
      <c r="D372" s="8"/>
      <c r="E372" s="8"/>
    </row>
    <row r="373" spans="1:5" ht="16.5" x14ac:dyDescent="0.3">
      <c r="A373" s="11"/>
      <c r="B373" s="6"/>
      <c r="C373" s="8"/>
      <c r="D373" s="8"/>
      <c r="E373" s="8"/>
    </row>
    <row r="374" spans="1:5" ht="16.5" x14ac:dyDescent="0.3">
      <c r="A374" s="12"/>
      <c r="B374" s="6"/>
      <c r="C374" s="8"/>
      <c r="D374" s="8"/>
      <c r="E374" s="8"/>
    </row>
    <row r="375" spans="1:5" ht="16.5" x14ac:dyDescent="0.3">
      <c r="A375" s="11"/>
      <c r="B375" s="6"/>
      <c r="C375" s="8"/>
      <c r="D375" s="8"/>
      <c r="E375" s="8"/>
    </row>
    <row r="376" spans="1:5" ht="16.5" x14ac:dyDescent="0.3">
      <c r="A376" s="12"/>
      <c r="B376" s="6"/>
      <c r="C376" s="8"/>
      <c r="D376" s="8"/>
      <c r="E376" s="8"/>
    </row>
    <row r="377" spans="1:5" ht="16.5" x14ac:dyDescent="0.3">
      <c r="A377" s="11"/>
      <c r="B377" s="6"/>
      <c r="C377" s="8"/>
      <c r="D377" s="8"/>
      <c r="E377" s="8"/>
    </row>
    <row r="378" spans="1:5" ht="16.5" x14ac:dyDescent="0.3">
      <c r="A378" s="12"/>
      <c r="B378" s="6"/>
      <c r="C378" s="8"/>
      <c r="D378" s="8"/>
      <c r="E378" s="8"/>
    </row>
    <row r="379" spans="1:5" ht="16.5" x14ac:dyDescent="0.3">
      <c r="A379" s="11"/>
      <c r="B379" s="6"/>
      <c r="C379" s="8"/>
      <c r="D379" s="8"/>
      <c r="E379" s="8"/>
    </row>
    <row r="380" spans="1:5" ht="16.5" x14ac:dyDescent="0.3">
      <c r="A380" s="12"/>
      <c r="B380" s="6"/>
      <c r="C380" s="8"/>
      <c r="D380" s="8"/>
      <c r="E380" s="8"/>
    </row>
    <row r="381" spans="1:5" ht="16.5" x14ac:dyDescent="0.3">
      <c r="A381" s="11"/>
      <c r="B381" s="6"/>
      <c r="C381" s="8"/>
      <c r="D381" s="8"/>
      <c r="E381" s="8"/>
    </row>
    <row r="382" spans="1:5" ht="16.5" x14ac:dyDescent="0.3">
      <c r="A382" s="12"/>
      <c r="B382" s="6"/>
      <c r="C382" s="8"/>
      <c r="D382" s="8"/>
      <c r="E382" s="8"/>
    </row>
    <row r="383" spans="1:5" ht="16.5" x14ac:dyDescent="0.3">
      <c r="A383" s="11"/>
      <c r="B383" s="6"/>
      <c r="C383" s="8"/>
      <c r="D383" s="8"/>
      <c r="E383" s="8"/>
    </row>
    <row r="384" spans="1:5" ht="16.5" x14ac:dyDescent="0.3">
      <c r="A384" s="12"/>
      <c r="B384" s="6"/>
      <c r="C384" s="8"/>
      <c r="D384" s="8"/>
      <c r="E384" s="8"/>
    </row>
    <row r="385" spans="1:5" ht="16.5" x14ac:dyDescent="0.3">
      <c r="A385" s="11"/>
      <c r="B385" s="6"/>
      <c r="C385" s="8"/>
      <c r="D385" s="8"/>
      <c r="E385" s="8"/>
    </row>
    <row r="386" spans="1:5" ht="16.5" x14ac:dyDescent="0.3">
      <c r="A386" s="12"/>
      <c r="B386" s="6"/>
      <c r="C386" s="8"/>
      <c r="D386" s="8"/>
      <c r="E386" s="8"/>
    </row>
    <row r="387" spans="1:5" ht="16.5" x14ac:dyDescent="0.3">
      <c r="A387" s="11"/>
      <c r="B387" s="6"/>
      <c r="C387" s="8"/>
      <c r="D387" s="8"/>
      <c r="E387" s="8"/>
    </row>
    <row r="388" spans="1:5" ht="16.5" x14ac:dyDescent="0.3">
      <c r="A388" s="12"/>
      <c r="B388" s="6"/>
      <c r="C388" s="8"/>
      <c r="D388" s="8"/>
      <c r="E388" s="8"/>
    </row>
    <row r="389" spans="1:5" ht="16.5" x14ac:dyDescent="0.3">
      <c r="A389" s="11"/>
      <c r="B389" s="6"/>
      <c r="C389" s="8"/>
      <c r="D389" s="8"/>
      <c r="E389" s="8"/>
    </row>
    <row r="390" spans="1:5" ht="16.5" x14ac:dyDescent="0.3">
      <c r="A390" s="12"/>
      <c r="B390" s="6"/>
      <c r="C390" s="8"/>
      <c r="D390" s="8"/>
      <c r="E390" s="8"/>
    </row>
    <row r="391" spans="1:5" ht="16.5" x14ac:dyDescent="0.3">
      <c r="A391" s="11"/>
      <c r="B391" s="6"/>
      <c r="C391" s="8"/>
      <c r="D391" s="8"/>
      <c r="E391" s="8"/>
    </row>
    <row r="392" spans="1:5" ht="16.5" x14ac:dyDescent="0.3">
      <c r="A392" s="12"/>
      <c r="B392" s="6"/>
      <c r="C392" s="8"/>
      <c r="D392" s="8"/>
      <c r="E392" s="8"/>
    </row>
    <row r="393" spans="1:5" ht="16.5" x14ac:dyDescent="0.3">
      <c r="A393" s="11"/>
      <c r="B393" s="6"/>
      <c r="C393" s="8"/>
      <c r="D393" s="8"/>
      <c r="E393" s="8"/>
    </row>
    <row r="394" spans="1:5" ht="16.5" x14ac:dyDescent="0.3">
      <c r="A394" s="12"/>
      <c r="B394" s="6"/>
      <c r="C394" s="8"/>
      <c r="D394" s="8"/>
      <c r="E394" s="8"/>
    </row>
    <row r="395" spans="1:5" ht="16.5" x14ac:dyDescent="0.3">
      <c r="A395" s="11"/>
      <c r="B395" s="6"/>
      <c r="C395" s="8"/>
      <c r="D395" s="8"/>
      <c r="E395" s="8"/>
    </row>
    <row r="396" spans="1:5" ht="16.5" x14ac:dyDescent="0.3">
      <c r="A396" s="12"/>
      <c r="B396" s="6"/>
      <c r="C396" s="8"/>
      <c r="D396" s="8"/>
      <c r="E396" s="8"/>
    </row>
    <row r="397" spans="1:5" ht="16.5" x14ac:dyDescent="0.3">
      <c r="A397" s="11"/>
      <c r="B397" s="6"/>
      <c r="C397" s="8"/>
      <c r="D397" s="8"/>
      <c r="E397" s="8"/>
    </row>
    <row r="398" spans="1:5" ht="16.5" x14ac:dyDescent="0.3">
      <c r="A398" s="12"/>
      <c r="B398" s="6"/>
      <c r="C398" s="8"/>
      <c r="D398" s="8"/>
      <c r="E398" s="8"/>
    </row>
    <row r="399" spans="1:5" ht="16.5" x14ac:dyDescent="0.3">
      <c r="A399" s="11"/>
      <c r="B399" s="6"/>
      <c r="C399" s="8"/>
      <c r="D399" s="8"/>
      <c r="E399" s="8"/>
    </row>
    <row r="400" spans="1:5" ht="16.5" x14ac:dyDescent="0.3">
      <c r="A400" s="12"/>
      <c r="B400" s="6"/>
      <c r="C400" s="8"/>
      <c r="D400" s="8"/>
      <c r="E400" s="8"/>
    </row>
    <row r="401" spans="1:5" ht="16.5" x14ac:dyDescent="0.3">
      <c r="A401" s="11"/>
      <c r="B401" s="6"/>
      <c r="C401" s="8"/>
      <c r="D401" s="8"/>
      <c r="E401" s="8"/>
    </row>
    <row r="402" spans="1:5" ht="16.5" x14ac:dyDescent="0.3">
      <c r="A402" s="12"/>
      <c r="B402" s="6"/>
      <c r="C402" s="8"/>
      <c r="D402" s="8"/>
      <c r="E402" s="8"/>
    </row>
    <row r="403" spans="1:5" ht="16.5" x14ac:dyDescent="0.3">
      <c r="A403" s="11"/>
      <c r="B403" s="6"/>
      <c r="C403" s="8"/>
      <c r="D403" s="8"/>
      <c r="E403" s="8"/>
    </row>
    <row r="404" spans="1:5" ht="16.5" x14ac:dyDescent="0.3">
      <c r="A404" s="12"/>
      <c r="B404" s="6"/>
      <c r="C404" s="8"/>
      <c r="D404" s="8"/>
      <c r="E404" s="8"/>
    </row>
    <row r="405" spans="1:5" ht="16.5" x14ac:dyDescent="0.3">
      <c r="A405" s="11"/>
      <c r="B405" s="6"/>
      <c r="C405" s="8"/>
      <c r="D405" s="8"/>
      <c r="E405" s="8"/>
    </row>
    <row r="406" spans="1:5" ht="16.5" x14ac:dyDescent="0.3">
      <c r="A406" s="12"/>
      <c r="B406" s="6"/>
      <c r="C406" s="8"/>
      <c r="D406" s="8"/>
      <c r="E406" s="8"/>
    </row>
    <row r="407" spans="1:5" ht="16.5" x14ac:dyDescent="0.3">
      <c r="A407" s="11"/>
      <c r="B407" s="6"/>
      <c r="C407" s="8"/>
      <c r="D407" s="8"/>
      <c r="E407" s="8"/>
    </row>
    <row r="408" spans="1:5" ht="16.5" x14ac:dyDescent="0.3">
      <c r="A408" s="12"/>
      <c r="B408" s="6"/>
      <c r="C408" s="8"/>
      <c r="D408" s="8"/>
      <c r="E408" s="8"/>
    </row>
    <row r="409" spans="1:5" ht="16.5" x14ac:dyDescent="0.3">
      <c r="A409" s="11"/>
      <c r="B409" s="6"/>
      <c r="C409" s="8"/>
      <c r="D409" s="8"/>
      <c r="E409" s="8"/>
    </row>
    <row r="410" spans="1:5" ht="16.5" x14ac:dyDescent="0.3">
      <c r="A410" s="12"/>
      <c r="B410" s="6"/>
      <c r="C410" s="8"/>
      <c r="D410" s="8"/>
      <c r="E410" s="8"/>
    </row>
    <row r="411" spans="1:5" ht="16.5" x14ac:dyDescent="0.3">
      <c r="A411" s="11"/>
      <c r="B411" s="6"/>
      <c r="C411" s="8"/>
      <c r="D411" s="8"/>
      <c r="E411" s="8"/>
    </row>
    <row r="412" spans="1:5" ht="16.5" x14ac:dyDescent="0.3">
      <c r="A412" s="12"/>
      <c r="B412" s="6"/>
      <c r="C412" s="8"/>
      <c r="D412" s="8"/>
      <c r="E412" s="8"/>
    </row>
    <row r="413" spans="1:5" ht="16.5" x14ac:dyDescent="0.3">
      <c r="A413" s="11"/>
      <c r="B413" s="6"/>
      <c r="C413" s="8"/>
      <c r="D413" s="8"/>
      <c r="E413" s="8"/>
    </row>
    <row r="414" spans="1:5" ht="16.5" x14ac:dyDescent="0.3">
      <c r="A414" s="12"/>
      <c r="B414" s="6"/>
      <c r="C414" s="8"/>
      <c r="D414" s="8"/>
      <c r="E414" s="8"/>
    </row>
    <row r="415" spans="1:5" ht="16.5" x14ac:dyDescent="0.3">
      <c r="A415" s="11"/>
      <c r="B415" s="6"/>
      <c r="C415" s="8"/>
      <c r="D415" s="8"/>
      <c r="E415" s="8"/>
    </row>
    <row r="416" spans="1:5" ht="16.5" x14ac:dyDescent="0.3">
      <c r="A416" s="12"/>
      <c r="B416" s="6"/>
      <c r="C416" s="8"/>
      <c r="D416" s="8"/>
      <c r="E416" s="8"/>
    </row>
    <row r="417" spans="1:5" ht="16.5" x14ac:dyDescent="0.3">
      <c r="A417" s="11"/>
      <c r="B417" s="6"/>
      <c r="C417" s="8"/>
      <c r="D417" s="8"/>
      <c r="E417" s="8"/>
    </row>
    <row r="418" spans="1:5" ht="16.5" x14ac:dyDescent="0.3">
      <c r="A418" s="12"/>
      <c r="B418" s="6"/>
      <c r="C418" s="8"/>
      <c r="D418" s="8"/>
      <c r="E418" s="8"/>
    </row>
    <row r="419" spans="1:5" ht="16.5" x14ac:dyDescent="0.3">
      <c r="A419" s="11"/>
      <c r="B419" s="6"/>
      <c r="C419" s="8"/>
      <c r="D419" s="8"/>
      <c r="E419" s="8"/>
    </row>
    <row r="420" spans="1:5" ht="16.5" x14ac:dyDescent="0.3">
      <c r="A420" s="12"/>
      <c r="B420" s="6"/>
      <c r="C420" s="8"/>
      <c r="D420" s="8"/>
      <c r="E420" s="8"/>
    </row>
    <row r="421" spans="1:5" ht="16.5" x14ac:dyDescent="0.3">
      <c r="A421" s="11"/>
      <c r="B421" s="6"/>
      <c r="C421" s="8"/>
      <c r="D421" s="8"/>
      <c r="E421" s="8"/>
    </row>
    <row r="422" spans="1:5" ht="16.5" x14ac:dyDescent="0.3">
      <c r="A422" s="12"/>
      <c r="B422" s="6"/>
      <c r="C422" s="8"/>
      <c r="D422" s="8"/>
      <c r="E422" s="8"/>
    </row>
    <row r="423" spans="1:5" ht="16.5" x14ac:dyDescent="0.3">
      <c r="A423" s="11"/>
      <c r="B423" s="6"/>
      <c r="C423" s="8"/>
      <c r="D423" s="8"/>
      <c r="E423" s="8"/>
    </row>
    <row r="424" spans="1:5" ht="16.5" x14ac:dyDescent="0.3">
      <c r="A424" s="12"/>
      <c r="B424" s="6"/>
      <c r="C424" s="8"/>
      <c r="D424" s="8"/>
      <c r="E424" s="8"/>
    </row>
    <row r="425" spans="1:5" ht="16.5" x14ac:dyDescent="0.3">
      <c r="A425" s="11"/>
      <c r="B425" s="6"/>
      <c r="C425" s="8"/>
      <c r="D425" s="8"/>
      <c r="E425" s="8"/>
    </row>
    <row r="426" spans="1:5" ht="16.5" x14ac:dyDescent="0.3">
      <c r="A426" s="12"/>
      <c r="B426" s="6"/>
      <c r="C426" s="8"/>
      <c r="D426" s="8"/>
      <c r="E426" s="8"/>
    </row>
    <row r="427" spans="1:5" ht="16.5" x14ac:dyDescent="0.3">
      <c r="A427" s="11"/>
      <c r="B427" s="6"/>
      <c r="C427" s="8"/>
      <c r="D427" s="8"/>
      <c r="E427" s="8"/>
    </row>
    <row r="428" spans="1:5" ht="16.5" x14ac:dyDescent="0.3">
      <c r="A428" s="12"/>
      <c r="B428" s="6"/>
      <c r="C428" s="8"/>
      <c r="D428" s="8"/>
      <c r="E428" s="8"/>
    </row>
    <row r="429" spans="1:5" ht="16.5" x14ac:dyDescent="0.3">
      <c r="A429" s="11"/>
      <c r="B429" s="6"/>
      <c r="C429" s="8"/>
      <c r="D429" s="8"/>
      <c r="E429" s="8"/>
    </row>
    <row r="430" spans="1:5" ht="16.5" x14ac:dyDescent="0.3">
      <c r="A430" s="12"/>
      <c r="B430" s="6"/>
      <c r="C430" s="8"/>
      <c r="D430" s="8"/>
      <c r="E430" s="8"/>
    </row>
    <row r="431" spans="1:5" ht="16.5" x14ac:dyDescent="0.3">
      <c r="A431" s="11"/>
      <c r="B431" s="6"/>
      <c r="C431" s="8"/>
      <c r="D431" s="8"/>
      <c r="E431" s="8"/>
    </row>
    <row r="432" spans="1:5" ht="16.5" x14ac:dyDescent="0.3">
      <c r="A432" s="12"/>
      <c r="B432" s="6"/>
      <c r="C432" s="8"/>
      <c r="D432" s="8"/>
      <c r="E432" s="8"/>
    </row>
    <row r="433" spans="1:5" ht="16.5" x14ac:dyDescent="0.3">
      <c r="A433" s="11"/>
      <c r="B433" s="6"/>
      <c r="C433" s="8"/>
      <c r="D433" s="8"/>
      <c r="E433" s="8"/>
    </row>
    <row r="434" spans="1:5" ht="16.5" x14ac:dyDescent="0.3">
      <c r="A434" s="12"/>
      <c r="B434" s="6"/>
      <c r="C434" s="8"/>
      <c r="D434" s="8"/>
      <c r="E434" s="8"/>
    </row>
    <row r="435" spans="1:5" ht="16.5" x14ac:dyDescent="0.3">
      <c r="A435" s="11"/>
      <c r="B435" s="6"/>
      <c r="C435" s="8"/>
      <c r="D435" s="8"/>
      <c r="E435" s="8"/>
    </row>
    <row r="436" spans="1:5" ht="16.5" x14ac:dyDescent="0.3">
      <c r="A436" s="12"/>
      <c r="B436" s="6"/>
      <c r="C436" s="8"/>
      <c r="D436" s="8"/>
      <c r="E436" s="8"/>
    </row>
    <row r="437" spans="1:5" ht="16.5" x14ac:dyDescent="0.3">
      <c r="A437" s="11"/>
      <c r="B437" s="6"/>
      <c r="C437" s="8"/>
      <c r="D437" s="8"/>
      <c r="E437" s="8"/>
    </row>
    <row r="438" spans="1:5" ht="16.5" x14ac:dyDescent="0.3">
      <c r="A438" s="12"/>
      <c r="B438" s="6"/>
      <c r="C438" s="8"/>
      <c r="D438" s="8"/>
      <c r="E438" s="8"/>
    </row>
    <row r="439" spans="1:5" ht="16.5" x14ac:dyDescent="0.3">
      <c r="A439" s="11"/>
      <c r="B439" s="6"/>
      <c r="C439" s="8"/>
      <c r="D439" s="8"/>
      <c r="E439" s="8"/>
    </row>
    <row r="440" spans="1:5" ht="16.5" x14ac:dyDescent="0.3">
      <c r="A440" s="12"/>
      <c r="B440" s="6"/>
      <c r="C440" s="8"/>
      <c r="D440" s="8"/>
      <c r="E440" s="8"/>
    </row>
    <row r="441" spans="1:5" ht="16.5" x14ac:dyDescent="0.3">
      <c r="A441" s="11"/>
      <c r="B441" s="6"/>
      <c r="C441" s="8"/>
      <c r="D441" s="8"/>
      <c r="E441" s="8"/>
    </row>
    <row r="442" spans="1:5" ht="16.5" x14ac:dyDescent="0.3">
      <c r="A442" s="12"/>
      <c r="B442" s="6"/>
      <c r="C442" s="8"/>
      <c r="D442" s="8"/>
      <c r="E442" s="8"/>
    </row>
    <row r="443" spans="1:5" ht="16.5" x14ac:dyDescent="0.3">
      <c r="A443" s="11"/>
      <c r="B443" s="6"/>
      <c r="C443" s="8"/>
      <c r="D443" s="8"/>
      <c r="E443" s="8"/>
    </row>
    <row r="444" spans="1:5" ht="16.5" x14ac:dyDescent="0.3">
      <c r="A444" s="12"/>
      <c r="B444" s="6"/>
      <c r="C444" s="8"/>
      <c r="D444" s="8"/>
      <c r="E444" s="8"/>
    </row>
    <row r="445" spans="1:5" ht="16.5" x14ac:dyDescent="0.3">
      <c r="A445" s="11"/>
      <c r="B445" s="6"/>
      <c r="C445" s="8"/>
      <c r="D445" s="8"/>
      <c r="E445" s="8"/>
    </row>
    <row r="446" spans="1:5" ht="16.5" x14ac:dyDescent="0.3">
      <c r="A446" s="12"/>
      <c r="B446" s="6"/>
      <c r="C446" s="8"/>
      <c r="D446" s="8"/>
      <c r="E446" s="8"/>
    </row>
    <row r="447" spans="1:5" ht="16.5" x14ac:dyDescent="0.3">
      <c r="A447" s="11"/>
      <c r="B447" s="6"/>
      <c r="C447" s="8"/>
      <c r="D447" s="8"/>
      <c r="E447" s="8"/>
    </row>
    <row r="448" spans="1:5" ht="16.5" x14ac:dyDescent="0.3">
      <c r="A448" s="12"/>
      <c r="B448" s="6"/>
      <c r="C448" s="8"/>
      <c r="D448" s="8"/>
      <c r="E448" s="8"/>
    </row>
    <row r="449" spans="1:5" ht="16.5" x14ac:dyDescent="0.3">
      <c r="A449" s="11"/>
      <c r="B449" s="6"/>
      <c r="C449" s="8"/>
      <c r="D449" s="8"/>
      <c r="E449" s="8"/>
    </row>
    <row r="450" spans="1:5" ht="16.5" x14ac:dyDescent="0.3">
      <c r="A450" s="12"/>
      <c r="B450" s="6"/>
      <c r="C450" s="8"/>
      <c r="D450" s="8"/>
      <c r="E450" s="8"/>
    </row>
    <row r="451" spans="1:5" ht="16.5" x14ac:dyDescent="0.3">
      <c r="A451" s="11"/>
      <c r="B451" s="6"/>
      <c r="C451" s="8"/>
      <c r="D451" s="8"/>
      <c r="E451" s="8"/>
    </row>
    <row r="452" spans="1:5" ht="16.5" x14ac:dyDescent="0.3">
      <c r="A452" s="12"/>
      <c r="B452" s="6"/>
      <c r="C452" s="8"/>
      <c r="D452" s="8"/>
      <c r="E452" s="8"/>
    </row>
    <row r="453" spans="1:5" ht="16.5" x14ac:dyDescent="0.3">
      <c r="A453" s="11"/>
      <c r="B453" s="6"/>
      <c r="C453" s="8"/>
      <c r="D453" s="8"/>
      <c r="E453" s="8"/>
    </row>
    <row r="454" spans="1:5" ht="16.5" x14ac:dyDescent="0.3">
      <c r="A454" s="12"/>
      <c r="B454" s="6"/>
      <c r="C454" s="8"/>
      <c r="D454" s="8"/>
      <c r="E454" s="8"/>
    </row>
    <row r="455" spans="1:5" ht="16.5" x14ac:dyDescent="0.3">
      <c r="A455" s="11"/>
      <c r="B455" s="6"/>
      <c r="C455" s="8"/>
      <c r="D455" s="8"/>
      <c r="E455" s="8"/>
    </row>
    <row r="456" spans="1:5" ht="16.5" x14ac:dyDescent="0.3">
      <c r="A456" s="12"/>
      <c r="B456" s="6"/>
      <c r="C456" s="8"/>
      <c r="D456" s="8"/>
      <c r="E456" s="8"/>
    </row>
    <row r="457" spans="1:5" ht="16.5" x14ac:dyDescent="0.3">
      <c r="A457" s="11"/>
      <c r="B457" s="6"/>
      <c r="C457" s="8"/>
      <c r="D457" s="8"/>
      <c r="E457" s="8"/>
    </row>
    <row r="458" spans="1:5" ht="16.5" x14ac:dyDescent="0.3">
      <c r="A458" s="12"/>
      <c r="B458" s="6"/>
      <c r="C458" s="8"/>
      <c r="D458" s="8"/>
      <c r="E458" s="8"/>
    </row>
    <row r="459" spans="1:5" ht="16.5" x14ac:dyDescent="0.3">
      <c r="A459" s="11"/>
      <c r="B459" s="6"/>
      <c r="C459" s="8"/>
      <c r="D459" s="8"/>
      <c r="E459" s="8"/>
    </row>
    <row r="460" spans="1:5" ht="16.5" x14ac:dyDescent="0.3">
      <c r="A460" s="12"/>
      <c r="B460" s="6"/>
      <c r="C460" s="8"/>
      <c r="D460" s="8"/>
      <c r="E460" s="8"/>
    </row>
    <row r="461" spans="1:5" ht="16.5" x14ac:dyDescent="0.3">
      <c r="A461" s="11"/>
      <c r="B461" s="6"/>
      <c r="C461" s="8"/>
      <c r="D461" s="8"/>
      <c r="E461" s="8"/>
    </row>
    <row r="462" spans="1:5" ht="16.5" x14ac:dyDescent="0.3">
      <c r="A462" s="12"/>
      <c r="B462" s="6"/>
      <c r="C462" s="8"/>
      <c r="D462" s="8"/>
      <c r="E462" s="8"/>
    </row>
    <row r="463" spans="1:5" ht="16.5" x14ac:dyDescent="0.3">
      <c r="A463" s="11"/>
      <c r="B463" s="6"/>
      <c r="C463" s="8"/>
      <c r="D463" s="8"/>
      <c r="E463" s="8"/>
    </row>
    <row r="464" spans="1:5" ht="16.5" x14ac:dyDescent="0.3">
      <c r="A464" s="12"/>
      <c r="B464" s="6"/>
      <c r="C464" s="8"/>
      <c r="D464" s="8"/>
      <c r="E464" s="8"/>
    </row>
    <row r="465" spans="1:5" ht="16.5" x14ac:dyDescent="0.3">
      <c r="A465" s="11"/>
      <c r="B465" s="6"/>
      <c r="C465" s="8"/>
      <c r="D465" s="8"/>
      <c r="E465" s="8"/>
    </row>
    <row r="466" spans="1:5" ht="16.5" x14ac:dyDescent="0.3">
      <c r="A466" s="12"/>
      <c r="B466" s="6"/>
      <c r="C466" s="8"/>
      <c r="D466" s="8"/>
      <c r="E466" s="8"/>
    </row>
    <row r="467" spans="1:5" ht="16.5" x14ac:dyDescent="0.3">
      <c r="A467" s="11"/>
      <c r="B467" s="6"/>
      <c r="C467" s="8"/>
      <c r="D467" s="8"/>
      <c r="E467" s="8"/>
    </row>
    <row r="468" spans="1:5" ht="16.5" x14ac:dyDescent="0.3">
      <c r="A468" s="12"/>
      <c r="B468" s="6"/>
      <c r="C468" s="8"/>
      <c r="D468" s="8"/>
      <c r="E468" s="8"/>
    </row>
    <row r="469" spans="1:5" ht="16.5" x14ac:dyDescent="0.3">
      <c r="A469" s="11"/>
      <c r="B469" s="6"/>
      <c r="C469" s="8"/>
      <c r="D469" s="8"/>
      <c r="E469" s="8"/>
    </row>
    <row r="470" spans="1:5" ht="16.5" x14ac:dyDescent="0.3">
      <c r="A470" s="12"/>
      <c r="B470" s="6"/>
      <c r="C470" s="8"/>
      <c r="D470" s="8"/>
      <c r="E470" s="8"/>
    </row>
    <row r="471" spans="1:5" ht="16.5" x14ac:dyDescent="0.3">
      <c r="A471" s="11"/>
      <c r="B471" s="6"/>
      <c r="C471" s="8"/>
      <c r="D471" s="8"/>
      <c r="E471" s="8"/>
    </row>
    <row r="472" spans="1:5" ht="16.5" x14ac:dyDescent="0.3">
      <c r="A472" s="12"/>
      <c r="B472" s="6"/>
      <c r="C472" s="8"/>
      <c r="D472" s="8"/>
      <c r="E472" s="8"/>
    </row>
    <row r="473" spans="1:5" ht="16.5" x14ac:dyDescent="0.3">
      <c r="A473" s="11"/>
      <c r="B473" s="6"/>
      <c r="C473" s="8"/>
      <c r="D473" s="8"/>
      <c r="E473" s="8"/>
    </row>
    <row r="474" spans="1:5" ht="16.5" x14ac:dyDescent="0.3">
      <c r="A474" s="12"/>
      <c r="B474" s="6"/>
      <c r="C474" s="8"/>
      <c r="D474" s="8"/>
      <c r="E474" s="8"/>
    </row>
    <row r="475" spans="1:5" ht="16.5" x14ac:dyDescent="0.3">
      <c r="A475" s="11"/>
      <c r="B475" s="6"/>
      <c r="C475" s="8"/>
      <c r="D475" s="8"/>
      <c r="E475" s="8"/>
    </row>
    <row r="476" spans="1:5" ht="16.5" x14ac:dyDescent="0.3">
      <c r="A476" s="12"/>
      <c r="B476" s="6"/>
      <c r="C476" s="8"/>
      <c r="D476" s="8"/>
      <c r="E476" s="8"/>
    </row>
    <row r="477" spans="1:5" ht="16.5" x14ac:dyDescent="0.3">
      <c r="A477" s="11"/>
      <c r="B477" s="6"/>
      <c r="C477" s="8"/>
      <c r="D477" s="8"/>
      <c r="E477" s="8"/>
    </row>
    <row r="478" spans="1:5" ht="16.5" x14ac:dyDescent="0.3">
      <c r="A478" s="12"/>
      <c r="B478" s="6"/>
      <c r="C478" s="8"/>
      <c r="D478" s="8"/>
      <c r="E478" s="8"/>
    </row>
    <row r="479" spans="1:5" ht="16.5" x14ac:dyDescent="0.3">
      <c r="A479" s="11"/>
      <c r="B479" s="6"/>
      <c r="C479" s="8"/>
      <c r="D479" s="8"/>
      <c r="E479" s="8"/>
    </row>
    <row r="480" spans="1:5" ht="16.5" x14ac:dyDescent="0.3">
      <c r="A480" s="12"/>
      <c r="B480" s="6"/>
      <c r="C480" s="8"/>
      <c r="D480" s="8"/>
      <c r="E480" s="8"/>
    </row>
    <row r="481" spans="1:5" ht="16.5" x14ac:dyDescent="0.3">
      <c r="A481" s="11"/>
      <c r="B481" s="6"/>
      <c r="C481" s="8"/>
      <c r="D481" s="8"/>
      <c r="E481" s="8"/>
    </row>
    <row r="482" spans="1:5" ht="16.5" x14ac:dyDescent="0.3">
      <c r="A482" s="12"/>
      <c r="B482" s="6"/>
      <c r="C482" s="8"/>
      <c r="D482" s="8"/>
      <c r="E482" s="8"/>
    </row>
    <row r="483" spans="1:5" ht="16.5" x14ac:dyDescent="0.3">
      <c r="A483" s="11"/>
      <c r="B483" s="6"/>
      <c r="C483" s="8"/>
      <c r="D483" s="8"/>
      <c r="E483" s="8"/>
    </row>
    <row r="484" spans="1:5" ht="16.5" x14ac:dyDescent="0.3">
      <c r="A484" s="12"/>
      <c r="B484" s="6"/>
      <c r="C484" s="8"/>
      <c r="D484" s="8"/>
      <c r="E484" s="8"/>
    </row>
    <row r="485" spans="1:5" ht="16.5" x14ac:dyDescent="0.3">
      <c r="A485" s="11"/>
      <c r="B485" s="6"/>
      <c r="C485" s="8"/>
      <c r="D485" s="8"/>
      <c r="E485" s="8"/>
    </row>
    <row r="486" spans="1:5" ht="16.5" x14ac:dyDescent="0.3">
      <c r="A486" s="12"/>
      <c r="B486" s="6"/>
      <c r="C486" s="8"/>
      <c r="D486" s="8"/>
      <c r="E486" s="8"/>
    </row>
    <row r="487" spans="1:5" ht="16.5" x14ac:dyDescent="0.3">
      <c r="A487" s="11"/>
      <c r="B487" s="6"/>
      <c r="C487" s="8"/>
      <c r="D487" s="8"/>
      <c r="E487" s="8"/>
    </row>
    <row r="488" spans="1:5" ht="16.5" x14ac:dyDescent="0.3">
      <c r="A488" s="12"/>
      <c r="B488" s="6"/>
      <c r="C488" s="8"/>
      <c r="D488" s="8"/>
      <c r="E488" s="8"/>
    </row>
    <row r="489" spans="1:5" ht="16.5" x14ac:dyDescent="0.3">
      <c r="A489" s="11"/>
      <c r="B489" s="6"/>
      <c r="C489" s="8"/>
      <c r="D489" s="8"/>
      <c r="E489" s="8"/>
    </row>
    <row r="490" spans="1:5" ht="16.5" x14ac:dyDescent="0.3">
      <c r="A490" s="12"/>
      <c r="B490" s="6"/>
      <c r="C490" s="8"/>
      <c r="D490" s="8"/>
      <c r="E490" s="8"/>
    </row>
    <row r="491" spans="1:5" ht="16.5" x14ac:dyDescent="0.3">
      <c r="A491" s="11"/>
      <c r="B491" s="6"/>
      <c r="C491" s="8"/>
      <c r="D491" s="8"/>
      <c r="E491" s="8"/>
    </row>
    <row r="492" spans="1:5" ht="16.5" x14ac:dyDescent="0.3">
      <c r="A492" s="12"/>
      <c r="B492" s="6"/>
      <c r="C492" s="8"/>
      <c r="D492" s="8"/>
      <c r="E492" s="8"/>
    </row>
    <row r="493" spans="1:5" ht="16.5" x14ac:dyDescent="0.3">
      <c r="A493" s="11"/>
      <c r="B493" s="6"/>
      <c r="C493" s="8"/>
      <c r="D493" s="8"/>
      <c r="E493" s="8"/>
    </row>
    <row r="494" spans="1:5" ht="16.5" x14ac:dyDescent="0.3">
      <c r="A494" s="12"/>
      <c r="B494" s="6"/>
      <c r="C494" s="8"/>
      <c r="D494" s="8"/>
      <c r="E494" s="8"/>
    </row>
    <row r="495" spans="1:5" ht="16.5" x14ac:dyDescent="0.3">
      <c r="A495" s="11"/>
      <c r="B495" s="6"/>
      <c r="C495" s="8"/>
      <c r="D495" s="8"/>
      <c r="E495" s="8"/>
    </row>
    <row r="496" spans="1:5" ht="16.5" x14ac:dyDescent="0.3">
      <c r="A496" s="12"/>
      <c r="B496" s="6"/>
      <c r="C496" s="8"/>
      <c r="D496" s="8"/>
      <c r="E496" s="8"/>
    </row>
    <row r="497" spans="1:5" ht="16.5" x14ac:dyDescent="0.3">
      <c r="A497" s="11"/>
      <c r="B497" s="6"/>
      <c r="C497" s="8"/>
      <c r="D497" s="8"/>
      <c r="E497" s="8"/>
    </row>
    <row r="498" spans="1:5" ht="16.5" x14ac:dyDescent="0.3">
      <c r="A498" s="12"/>
      <c r="B498" s="6"/>
      <c r="C498" s="8"/>
      <c r="D498" s="8"/>
      <c r="E498" s="8"/>
    </row>
    <row r="499" spans="1:5" ht="16.5" x14ac:dyDescent="0.3">
      <c r="A499" s="11"/>
      <c r="B499" s="6"/>
      <c r="C499" s="8"/>
      <c r="D499" s="8"/>
      <c r="E499" s="8"/>
    </row>
    <row r="500" spans="1:5" ht="16.5" x14ac:dyDescent="0.3">
      <c r="A500" s="12"/>
      <c r="B500" s="6"/>
      <c r="C500" s="8"/>
      <c r="D500" s="8"/>
      <c r="E500" s="8"/>
    </row>
    <row r="501" spans="1:5" ht="16.5" x14ac:dyDescent="0.3">
      <c r="A501" s="11"/>
      <c r="B501" s="6"/>
      <c r="C501" s="8"/>
      <c r="D501" s="8"/>
      <c r="E501" s="8"/>
    </row>
    <row r="502" spans="1:5" ht="16.5" x14ac:dyDescent="0.3">
      <c r="A502" s="12"/>
      <c r="B502" s="6"/>
      <c r="C502" s="8"/>
      <c r="D502" s="8"/>
      <c r="E502" s="8"/>
    </row>
    <row r="503" spans="1:5" ht="16.5" x14ac:dyDescent="0.3">
      <c r="A503" s="11"/>
      <c r="B503" s="6"/>
      <c r="C503" s="8"/>
      <c r="D503" s="8"/>
      <c r="E503" s="8"/>
    </row>
    <row r="504" spans="1:5" ht="16.5" x14ac:dyDescent="0.3">
      <c r="A504" s="12"/>
      <c r="B504" s="6"/>
      <c r="C504" s="8"/>
      <c r="D504" s="8"/>
      <c r="E504" s="8"/>
    </row>
    <row r="505" spans="1:5" ht="16.5" x14ac:dyDescent="0.3">
      <c r="A505" s="11"/>
      <c r="B505" s="6"/>
      <c r="C505" s="8"/>
      <c r="D505" s="8"/>
      <c r="E505" s="8"/>
    </row>
    <row r="506" spans="1:5" ht="16.5" x14ac:dyDescent="0.3">
      <c r="A506" s="12"/>
      <c r="B506" s="6"/>
      <c r="C506" s="8"/>
      <c r="D506" s="8"/>
      <c r="E506" s="8"/>
    </row>
    <row r="507" spans="1:5" ht="16.5" x14ac:dyDescent="0.3">
      <c r="A507" s="11"/>
      <c r="B507" s="6"/>
      <c r="C507" s="8"/>
      <c r="D507" s="8"/>
      <c r="E507" s="8"/>
    </row>
    <row r="508" spans="1:5" ht="16.5" x14ac:dyDescent="0.3">
      <c r="A508" s="12"/>
      <c r="B508" s="6"/>
      <c r="C508" s="8"/>
      <c r="D508" s="8"/>
      <c r="E508" s="8"/>
    </row>
    <row r="509" spans="1:5" ht="16.5" x14ac:dyDescent="0.3">
      <c r="A509" s="11"/>
      <c r="B509" s="6"/>
      <c r="C509" s="8"/>
      <c r="D509" s="8"/>
      <c r="E509" s="8"/>
    </row>
    <row r="510" spans="1:5" ht="16.5" x14ac:dyDescent="0.3">
      <c r="A510" s="12"/>
      <c r="B510" s="6"/>
      <c r="C510" s="8"/>
      <c r="D510" s="8"/>
      <c r="E510" s="8"/>
    </row>
    <row r="511" spans="1:5" ht="16.5" x14ac:dyDescent="0.3">
      <c r="A511" s="11"/>
      <c r="B511" s="6"/>
      <c r="C511" s="8"/>
      <c r="D511" s="8"/>
      <c r="E511" s="8"/>
    </row>
    <row r="512" spans="1:5" ht="16.5" x14ac:dyDescent="0.3">
      <c r="A512" s="12"/>
      <c r="B512" s="6"/>
      <c r="C512" s="8"/>
      <c r="D512" s="8"/>
      <c r="E512" s="8"/>
    </row>
    <row r="513" spans="1:5" ht="16.5" x14ac:dyDescent="0.3">
      <c r="A513" s="11"/>
      <c r="B513" s="6"/>
      <c r="C513" s="8"/>
      <c r="D513" s="8"/>
      <c r="E513" s="8"/>
    </row>
    <row r="514" spans="1:5" ht="16.5" x14ac:dyDescent="0.3">
      <c r="A514" s="12"/>
      <c r="B514" s="6"/>
      <c r="C514" s="8"/>
      <c r="D514" s="8"/>
      <c r="E514" s="8"/>
    </row>
    <row r="515" spans="1:5" ht="16.5" x14ac:dyDescent="0.3">
      <c r="A515" s="11"/>
      <c r="B515" s="6"/>
      <c r="C515" s="8"/>
      <c r="D515" s="8"/>
      <c r="E515" s="8"/>
    </row>
    <row r="516" spans="1:5" ht="16.5" x14ac:dyDescent="0.3">
      <c r="A516" s="12"/>
      <c r="B516" s="6"/>
      <c r="C516" s="8"/>
      <c r="D516" s="8"/>
      <c r="E516" s="8"/>
    </row>
    <row r="517" spans="1:5" ht="16.5" x14ac:dyDescent="0.3">
      <c r="A517" s="11"/>
      <c r="B517" s="6"/>
      <c r="C517" s="8"/>
      <c r="D517" s="8"/>
      <c r="E517" s="8"/>
    </row>
    <row r="518" spans="1:5" ht="16.5" x14ac:dyDescent="0.3">
      <c r="A518" s="12"/>
      <c r="B518" s="6"/>
      <c r="C518" s="8"/>
      <c r="D518" s="8"/>
      <c r="E518" s="8"/>
    </row>
    <row r="519" spans="1:5" ht="16.5" x14ac:dyDescent="0.3">
      <c r="A519" s="11"/>
      <c r="B519" s="6"/>
      <c r="C519" s="8"/>
      <c r="D519" s="8"/>
      <c r="E519" s="8"/>
    </row>
    <row r="520" spans="1:5" ht="16.5" x14ac:dyDescent="0.3">
      <c r="A520" s="12"/>
      <c r="B520" s="6"/>
      <c r="C520" s="8"/>
      <c r="D520" s="8"/>
      <c r="E520" s="8"/>
    </row>
    <row r="521" spans="1:5" ht="16.5" x14ac:dyDescent="0.3">
      <c r="A521" s="11"/>
      <c r="B521" s="6"/>
      <c r="C521" s="8"/>
      <c r="D521" s="8"/>
      <c r="E521" s="8"/>
    </row>
    <row r="522" spans="1:5" ht="16.5" x14ac:dyDescent="0.3">
      <c r="A522" s="12"/>
      <c r="B522" s="6"/>
      <c r="C522" s="8"/>
      <c r="D522" s="8"/>
      <c r="E522" s="8"/>
    </row>
    <row r="523" spans="1:5" ht="16.5" x14ac:dyDescent="0.3">
      <c r="A523" s="11"/>
      <c r="B523" s="6"/>
      <c r="C523" s="8"/>
      <c r="D523" s="8"/>
      <c r="E523" s="8"/>
    </row>
    <row r="524" spans="1:5" ht="16.5" x14ac:dyDescent="0.3">
      <c r="A524" s="12"/>
      <c r="B524" s="6"/>
      <c r="C524" s="8"/>
      <c r="D524" s="8"/>
      <c r="E524" s="8"/>
    </row>
    <row r="525" spans="1:5" ht="16.5" x14ac:dyDescent="0.3">
      <c r="A525" s="11"/>
      <c r="B525" s="6"/>
      <c r="C525" s="8"/>
      <c r="D525" s="8"/>
      <c r="E525" s="8"/>
    </row>
    <row r="526" spans="1:5" ht="16.5" x14ac:dyDescent="0.3">
      <c r="A526" s="12"/>
      <c r="B526" s="6"/>
      <c r="C526" s="8"/>
      <c r="D526" s="8"/>
      <c r="E526" s="8"/>
    </row>
    <row r="527" spans="1:5" ht="16.5" x14ac:dyDescent="0.3">
      <c r="A527" s="11"/>
      <c r="B527" s="6"/>
      <c r="C527" s="8"/>
      <c r="D527" s="8"/>
      <c r="E527" s="8"/>
    </row>
    <row r="528" spans="1:5" ht="16.5" x14ac:dyDescent="0.3">
      <c r="A528" s="12"/>
      <c r="B528" s="6"/>
      <c r="C528" s="8"/>
      <c r="D528" s="8"/>
      <c r="E528" s="8"/>
    </row>
    <row r="529" spans="1:5" ht="16.5" x14ac:dyDescent="0.3">
      <c r="A529" s="11"/>
      <c r="B529" s="6"/>
      <c r="C529" s="8"/>
      <c r="D529" s="8"/>
      <c r="E529" s="8"/>
    </row>
    <row r="530" spans="1:5" ht="16.5" x14ac:dyDescent="0.3">
      <c r="A530" s="12"/>
      <c r="B530" s="6"/>
      <c r="C530" s="8"/>
      <c r="D530" s="8"/>
      <c r="E530" s="8"/>
    </row>
    <row r="531" spans="1:5" ht="16.5" x14ac:dyDescent="0.3">
      <c r="A531" s="11"/>
      <c r="B531" s="6"/>
      <c r="C531" s="8"/>
      <c r="D531" s="8"/>
      <c r="E531" s="8"/>
    </row>
    <row r="532" spans="1:5" ht="16.5" x14ac:dyDescent="0.3">
      <c r="A532" s="12"/>
      <c r="B532" s="6"/>
      <c r="C532" s="8"/>
      <c r="D532" s="8"/>
      <c r="E532" s="8"/>
    </row>
    <row r="533" spans="1:5" ht="16.5" x14ac:dyDescent="0.3">
      <c r="A533" s="11"/>
      <c r="B533" s="6"/>
      <c r="C533" s="8"/>
      <c r="D533" s="8"/>
      <c r="E533" s="8"/>
    </row>
    <row r="534" spans="1:5" ht="16.5" x14ac:dyDescent="0.3">
      <c r="A534" s="12"/>
      <c r="B534" s="6"/>
      <c r="C534" s="8"/>
      <c r="D534" s="8"/>
      <c r="E534" s="8"/>
    </row>
    <row r="535" spans="1:5" ht="16.5" x14ac:dyDescent="0.3">
      <c r="A535" s="11"/>
      <c r="B535" s="6"/>
      <c r="C535" s="8"/>
      <c r="D535" s="8"/>
      <c r="E535" s="8"/>
    </row>
    <row r="536" spans="1:5" ht="16.5" x14ac:dyDescent="0.3">
      <c r="A536" s="12"/>
      <c r="B536" s="6"/>
      <c r="C536" s="8"/>
      <c r="D536" s="8"/>
      <c r="E536" s="8"/>
    </row>
    <row r="537" spans="1:5" ht="16.5" x14ac:dyDescent="0.3">
      <c r="A537" s="11"/>
      <c r="B537" s="6"/>
      <c r="C537" s="8"/>
      <c r="D537" s="8"/>
      <c r="E537" s="8"/>
    </row>
    <row r="538" spans="1:5" ht="16.5" x14ac:dyDescent="0.3">
      <c r="A538" s="12"/>
      <c r="B538" s="6"/>
      <c r="C538" s="8"/>
      <c r="D538" s="8"/>
      <c r="E538" s="8"/>
    </row>
    <row r="539" spans="1:5" ht="16.5" x14ac:dyDescent="0.3">
      <c r="A539" s="11"/>
      <c r="B539" s="6"/>
      <c r="C539" s="8"/>
      <c r="D539" s="8"/>
      <c r="E539" s="8"/>
    </row>
    <row r="540" spans="1:5" ht="16.5" x14ac:dyDescent="0.3">
      <c r="A540" s="12"/>
      <c r="B540" s="6"/>
      <c r="C540" s="8"/>
      <c r="D540" s="8"/>
      <c r="E540" s="8"/>
    </row>
    <row r="541" spans="1:5" ht="16.5" x14ac:dyDescent="0.3">
      <c r="A541" s="11"/>
      <c r="B541" s="6"/>
      <c r="C541" s="8"/>
      <c r="D541" s="8"/>
      <c r="E541" s="8"/>
    </row>
    <row r="542" spans="1:5" ht="16.5" x14ac:dyDescent="0.3">
      <c r="A542" s="12"/>
      <c r="B542" s="6"/>
      <c r="C542" s="8"/>
      <c r="D542" s="8"/>
      <c r="E542" s="8"/>
    </row>
    <row r="543" spans="1:5" ht="16.5" x14ac:dyDescent="0.3">
      <c r="A543" s="11"/>
      <c r="B543" s="6"/>
      <c r="C543" s="8"/>
      <c r="D543" s="8"/>
      <c r="E543" s="8"/>
    </row>
    <row r="544" spans="1:5" ht="16.5" x14ac:dyDescent="0.3">
      <c r="A544" s="12"/>
      <c r="B544" s="6"/>
      <c r="C544" s="8"/>
      <c r="D544" s="8"/>
      <c r="E544" s="8"/>
    </row>
    <row r="545" spans="1:5" ht="16.5" x14ac:dyDescent="0.3">
      <c r="A545" s="11"/>
      <c r="B545" s="6"/>
      <c r="C545" s="8"/>
      <c r="D545" s="8"/>
      <c r="E545" s="8"/>
    </row>
    <row r="546" spans="1:5" ht="16.5" x14ac:dyDescent="0.3">
      <c r="A546" s="12"/>
      <c r="B546" s="6"/>
      <c r="C546" s="8"/>
      <c r="D546" s="8"/>
      <c r="E546" s="8"/>
    </row>
    <row r="547" spans="1:5" ht="16.5" x14ac:dyDescent="0.3">
      <c r="A547" s="11"/>
      <c r="B547" s="6"/>
      <c r="C547" s="8"/>
      <c r="D547" s="8"/>
      <c r="E547" s="8"/>
    </row>
    <row r="548" spans="1:5" ht="16.5" x14ac:dyDescent="0.3">
      <c r="A548" s="12"/>
      <c r="B548" s="6"/>
      <c r="C548" s="8"/>
      <c r="D548" s="8"/>
      <c r="E548" s="8"/>
    </row>
    <row r="549" spans="1:5" ht="16.5" x14ac:dyDescent="0.3">
      <c r="A549" s="11"/>
      <c r="B549" s="6"/>
      <c r="C549" s="8"/>
      <c r="D549" s="8"/>
      <c r="E549" s="8"/>
    </row>
    <row r="550" spans="1:5" ht="16.5" x14ac:dyDescent="0.3">
      <c r="A550" s="12"/>
      <c r="B550" s="6"/>
      <c r="C550" s="8"/>
      <c r="D550" s="8"/>
      <c r="E550" s="8"/>
    </row>
    <row r="551" spans="1:5" ht="16.5" x14ac:dyDescent="0.3">
      <c r="A551" s="11"/>
      <c r="B551" s="6"/>
      <c r="C551" s="8"/>
      <c r="D551" s="8"/>
      <c r="E551" s="8"/>
    </row>
    <row r="552" spans="1:5" ht="16.5" x14ac:dyDescent="0.3">
      <c r="A552" s="12"/>
      <c r="B552" s="6"/>
      <c r="C552" s="8"/>
      <c r="D552" s="8"/>
      <c r="E552" s="8"/>
    </row>
    <row r="553" spans="1:5" ht="16.5" x14ac:dyDescent="0.3">
      <c r="A553" s="11"/>
      <c r="B553" s="6"/>
      <c r="C553" s="8"/>
      <c r="D553" s="8"/>
      <c r="E553" s="8"/>
    </row>
    <row r="554" spans="1:5" ht="16.5" x14ac:dyDescent="0.3">
      <c r="A554" s="12"/>
      <c r="B554" s="6"/>
      <c r="C554" s="8"/>
      <c r="D554" s="8"/>
      <c r="E554" s="8"/>
    </row>
    <row r="555" spans="1:5" ht="16.5" x14ac:dyDescent="0.3">
      <c r="A555" s="11"/>
      <c r="B555" s="6"/>
      <c r="C555" s="8"/>
      <c r="D555" s="8"/>
      <c r="E555" s="8"/>
    </row>
    <row r="556" spans="1:5" ht="16.5" x14ac:dyDescent="0.3">
      <c r="A556" s="12"/>
      <c r="B556" s="6"/>
      <c r="C556" s="8"/>
      <c r="D556" s="8"/>
      <c r="E556" s="8"/>
    </row>
    <row r="557" spans="1:5" ht="16.5" x14ac:dyDescent="0.3">
      <c r="A557" s="11"/>
      <c r="B557" s="6"/>
      <c r="C557" s="8"/>
      <c r="D557" s="8"/>
      <c r="E557" s="8"/>
    </row>
    <row r="558" spans="1:5" ht="16.5" x14ac:dyDescent="0.3">
      <c r="A558" s="12"/>
      <c r="B558" s="6"/>
      <c r="C558" s="8"/>
      <c r="D558" s="8"/>
      <c r="E558" s="8"/>
    </row>
    <row r="559" spans="1:5" ht="16.5" x14ac:dyDescent="0.3">
      <c r="A559" s="11"/>
      <c r="B559" s="6"/>
      <c r="C559" s="8"/>
      <c r="D559" s="8"/>
      <c r="E559" s="8"/>
    </row>
    <row r="560" spans="1:5" ht="16.5" x14ac:dyDescent="0.3">
      <c r="A560" s="12"/>
      <c r="B560" s="6"/>
      <c r="C560" s="8"/>
      <c r="D560" s="8"/>
      <c r="E560" s="8"/>
    </row>
    <row r="561" spans="1:5" ht="16.5" x14ac:dyDescent="0.3">
      <c r="A561" s="11"/>
      <c r="B561" s="6"/>
      <c r="C561" s="8"/>
      <c r="D561" s="8"/>
      <c r="E561" s="8"/>
    </row>
    <row r="562" spans="1:5" ht="16.5" x14ac:dyDescent="0.3">
      <c r="A562" s="12"/>
      <c r="B562" s="6"/>
      <c r="C562" s="8"/>
      <c r="D562" s="8"/>
      <c r="E562" s="8"/>
    </row>
    <row r="563" spans="1:5" ht="16.5" x14ac:dyDescent="0.3">
      <c r="A563" s="11"/>
      <c r="B563" s="6"/>
      <c r="C563" s="8"/>
      <c r="D563" s="8"/>
      <c r="E563" s="8"/>
    </row>
    <row r="564" spans="1:5" ht="16.5" x14ac:dyDescent="0.3">
      <c r="A564" s="12"/>
      <c r="B564" s="6"/>
      <c r="C564" s="8"/>
      <c r="D564" s="8"/>
      <c r="E564" s="8"/>
    </row>
    <row r="565" spans="1:5" ht="16.5" x14ac:dyDescent="0.3">
      <c r="A565" s="11"/>
      <c r="B565" s="6"/>
      <c r="C565" s="8"/>
      <c r="D565" s="8"/>
      <c r="E565" s="8"/>
    </row>
    <row r="566" spans="1:5" ht="16.5" x14ac:dyDescent="0.3">
      <c r="A566" s="12"/>
      <c r="B566" s="6"/>
      <c r="C566" s="8"/>
      <c r="D566" s="8"/>
      <c r="E566" s="8"/>
    </row>
    <row r="567" spans="1:5" ht="16.5" x14ac:dyDescent="0.3">
      <c r="A567" s="11"/>
      <c r="B567" s="6"/>
      <c r="C567" s="8"/>
      <c r="D567" s="8"/>
      <c r="E567" s="8"/>
    </row>
    <row r="568" spans="1:5" ht="16.5" x14ac:dyDescent="0.3">
      <c r="A568" s="12"/>
      <c r="B568" s="6"/>
      <c r="C568" s="8"/>
      <c r="D568" s="8"/>
      <c r="E568" s="8"/>
    </row>
    <row r="569" spans="1:5" ht="16.5" x14ac:dyDescent="0.3">
      <c r="A569" s="11"/>
      <c r="B569" s="6"/>
      <c r="C569" s="8"/>
      <c r="D569" s="8"/>
      <c r="E569" s="8"/>
    </row>
    <row r="570" spans="1:5" ht="16.5" x14ac:dyDescent="0.3">
      <c r="A570" s="12"/>
      <c r="B570" s="6"/>
      <c r="C570" s="8"/>
      <c r="D570" s="8"/>
      <c r="E570" s="8"/>
    </row>
    <row r="571" spans="1:5" ht="16.5" x14ac:dyDescent="0.3">
      <c r="A571" s="11"/>
      <c r="B571" s="6"/>
      <c r="C571" s="8"/>
      <c r="D571" s="8"/>
      <c r="E571" s="8"/>
    </row>
    <row r="572" spans="1:5" ht="16.5" x14ac:dyDescent="0.3">
      <c r="A572" s="12"/>
      <c r="B572" s="6"/>
      <c r="C572" s="8"/>
      <c r="D572" s="8"/>
      <c r="E572" s="8"/>
    </row>
    <row r="573" spans="1:5" ht="16.5" x14ac:dyDescent="0.3">
      <c r="A573" s="11"/>
      <c r="B573" s="6"/>
      <c r="C573" s="8"/>
      <c r="D573" s="8"/>
      <c r="E573" s="8"/>
    </row>
    <row r="574" spans="1:5" ht="16.5" x14ac:dyDescent="0.3">
      <c r="A574" s="12"/>
      <c r="B574" s="6"/>
      <c r="C574" s="8"/>
      <c r="D574" s="8"/>
      <c r="E574" s="8"/>
    </row>
    <row r="575" spans="1:5" ht="16.5" x14ac:dyDescent="0.3">
      <c r="A575" s="11"/>
      <c r="B575" s="6"/>
      <c r="C575" s="8"/>
      <c r="D575" s="8"/>
      <c r="E575" s="8"/>
    </row>
    <row r="576" spans="1:5" ht="16.5" x14ac:dyDescent="0.3">
      <c r="A576" s="12"/>
      <c r="B576" s="6"/>
      <c r="C576" s="8"/>
      <c r="D576" s="8"/>
      <c r="E576" s="8"/>
    </row>
    <row r="577" spans="1:5" ht="16.5" x14ac:dyDescent="0.3">
      <c r="A577" s="11"/>
      <c r="B577" s="6"/>
      <c r="C577" s="8"/>
      <c r="D577" s="8"/>
      <c r="E577" s="8"/>
    </row>
    <row r="578" spans="1:5" ht="16.5" x14ac:dyDescent="0.3">
      <c r="A578" s="12"/>
      <c r="B578" s="6"/>
      <c r="C578" s="8"/>
      <c r="D578" s="8"/>
      <c r="E578" s="8"/>
    </row>
    <row r="579" spans="1:5" ht="16.5" x14ac:dyDescent="0.3">
      <c r="A579" s="11"/>
      <c r="B579" s="6"/>
      <c r="C579" s="8"/>
      <c r="D579" s="8"/>
      <c r="E579" s="8"/>
    </row>
    <row r="580" spans="1:5" ht="16.5" x14ac:dyDescent="0.3">
      <c r="A580" s="12"/>
      <c r="B580" s="6"/>
      <c r="C580" s="8"/>
      <c r="D580" s="8"/>
      <c r="E580" s="8"/>
    </row>
    <row r="581" spans="1:5" ht="16.5" x14ac:dyDescent="0.3">
      <c r="A581" s="11"/>
      <c r="B581" s="6"/>
      <c r="C581" s="8"/>
      <c r="D581" s="8"/>
      <c r="E581" s="8"/>
    </row>
    <row r="582" spans="1:5" ht="16.5" x14ac:dyDescent="0.3">
      <c r="A582" s="12"/>
      <c r="B582" s="6"/>
      <c r="C582" s="8"/>
      <c r="D582" s="8"/>
      <c r="E582" s="8"/>
    </row>
    <row r="583" spans="1:5" ht="16.5" x14ac:dyDescent="0.3">
      <c r="A583" s="11"/>
      <c r="B583" s="6"/>
      <c r="C583" s="8"/>
      <c r="D583" s="8"/>
      <c r="E583" s="8"/>
    </row>
    <row r="584" spans="1:5" ht="16.5" x14ac:dyDescent="0.3">
      <c r="A584" s="12"/>
      <c r="B584" s="6"/>
      <c r="C584" s="8"/>
      <c r="D584" s="8"/>
      <c r="E584" s="8"/>
    </row>
    <row r="585" spans="1:5" ht="16.5" x14ac:dyDescent="0.3">
      <c r="A585" s="11"/>
      <c r="B585" s="6"/>
      <c r="C585" s="8"/>
      <c r="D585" s="8"/>
      <c r="E585" s="8"/>
    </row>
    <row r="586" spans="1:5" ht="16.5" x14ac:dyDescent="0.3">
      <c r="A586" s="12"/>
      <c r="B586" s="6"/>
      <c r="C586" s="8"/>
      <c r="D586" s="8"/>
      <c r="E586" s="8"/>
    </row>
    <row r="587" spans="1:5" ht="16.5" x14ac:dyDescent="0.3">
      <c r="A587" s="11"/>
      <c r="B587" s="6"/>
      <c r="C587" s="8"/>
      <c r="D587" s="8"/>
      <c r="E587" s="8"/>
    </row>
    <row r="588" spans="1:5" ht="16.5" x14ac:dyDescent="0.3">
      <c r="A588" s="12"/>
      <c r="B588" s="6"/>
      <c r="C588" s="8"/>
      <c r="D588" s="8"/>
      <c r="E588" s="8"/>
    </row>
    <row r="589" spans="1:5" ht="16.5" x14ac:dyDescent="0.3">
      <c r="A589" s="11"/>
      <c r="B589" s="6"/>
      <c r="C589" s="8"/>
      <c r="D589" s="8"/>
      <c r="E589" s="8"/>
    </row>
    <row r="590" spans="1:5" ht="16.5" x14ac:dyDescent="0.3">
      <c r="A590" s="12"/>
      <c r="B590" s="6"/>
      <c r="C590" s="8"/>
      <c r="D590" s="8"/>
      <c r="E590" s="8"/>
    </row>
    <row r="591" spans="1:5" ht="16.5" x14ac:dyDescent="0.3">
      <c r="A591" s="11"/>
      <c r="B591" s="6"/>
      <c r="C591" s="8"/>
      <c r="D591" s="8"/>
      <c r="E591" s="8"/>
    </row>
    <row r="592" spans="1:5" ht="16.5" x14ac:dyDescent="0.3">
      <c r="A592" s="12"/>
      <c r="B592" s="6"/>
      <c r="C592" s="8"/>
      <c r="D592" s="8"/>
      <c r="E592" s="8"/>
    </row>
    <row r="593" spans="1:5" ht="16.5" x14ac:dyDescent="0.3">
      <c r="A593" s="11"/>
      <c r="B593" s="6"/>
      <c r="C593" s="8"/>
      <c r="D593" s="8"/>
      <c r="E593" s="8"/>
    </row>
    <row r="594" spans="1:5" ht="16.5" x14ac:dyDescent="0.3">
      <c r="A594" s="12"/>
      <c r="B594" s="6"/>
      <c r="C594" s="8"/>
      <c r="D594" s="8"/>
      <c r="E594" s="8"/>
    </row>
    <row r="595" spans="1:5" ht="16.5" x14ac:dyDescent="0.3">
      <c r="A595" s="11"/>
      <c r="B595" s="6"/>
      <c r="C595" s="8"/>
      <c r="D595" s="8"/>
      <c r="E595" s="8"/>
    </row>
    <row r="596" spans="1:5" ht="16.5" x14ac:dyDescent="0.3">
      <c r="A596" s="12"/>
      <c r="B596" s="6"/>
      <c r="C596" s="8"/>
      <c r="D596" s="8"/>
      <c r="E596" s="8"/>
    </row>
    <row r="597" spans="1:5" ht="16.5" x14ac:dyDescent="0.3">
      <c r="A597" s="11"/>
      <c r="B597" s="6"/>
      <c r="C597" s="8"/>
      <c r="D597" s="8"/>
      <c r="E597" s="8"/>
    </row>
    <row r="598" spans="1:5" ht="16.5" x14ac:dyDescent="0.3">
      <c r="A598" s="12"/>
      <c r="B598" s="6"/>
      <c r="C598" s="8"/>
      <c r="D598" s="8"/>
      <c r="E598" s="8"/>
    </row>
    <row r="599" spans="1:5" ht="16.5" x14ac:dyDescent="0.3">
      <c r="A599" s="11"/>
      <c r="B599" s="6"/>
      <c r="C599" s="8"/>
      <c r="D599" s="8"/>
      <c r="E599" s="8"/>
    </row>
    <row r="600" spans="1:5" ht="16.5" x14ac:dyDescent="0.3">
      <c r="A600" s="12"/>
      <c r="B600" s="6"/>
      <c r="C600" s="8"/>
      <c r="D600" s="8"/>
      <c r="E600" s="8"/>
    </row>
    <row r="601" spans="1:5" ht="16.5" x14ac:dyDescent="0.3">
      <c r="A601" s="11"/>
      <c r="B601" s="6"/>
      <c r="C601" s="8"/>
      <c r="D601" s="8"/>
      <c r="E601" s="8"/>
    </row>
    <row r="602" spans="1:5" ht="16.5" x14ac:dyDescent="0.3">
      <c r="A602" s="12"/>
      <c r="B602" s="6"/>
      <c r="C602" s="8"/>
      <c r="D602" s="8"/>
      <c r="E602" s="8"/>
    </row>
    <row r="603" spans="1:5" ht="16.5" x14ac:dyDescent="0.3">
      <c r="A603" s="11"/>
      <c r="B603" s="6"/>
      <c r="C603" s="8"/>
      <c r="D603" s="8"/>
      <c r="E603" s="8"/>
    </row>
    <row r="604" spans="1:5" ht="16.5" x14ac:dyDescent="0.3">
      <c r="A604" s="12"/>
      <c r="B604" s="6"/>
      <c r="C604" s="8"/>
      <c r="D604" s="8"/>
      <c r="E604" s="8"/>
    </row>
    <row r="605" spans="1:5" ht="16.5" x14ac:dyDescent="0.3">
      <c r="A605" s="11"/>
      <c r="B605" s="6"/>
      <c r="C605" s="8"/>
      <c r="D605" s="8"/>
      <c r="E605" s="8"/>
    </row>
    <row r="606" spans="1:5" ht="16.5" x14ac:dyDescent="0.3">
      <c r="A606" s="12"/>
      <c r="B606" s="6"/>
      <c r="C606" s="8"/>
      <c r="D606" s="8"/>
      <c r="E606" s="8"/>
    </row>
    <row r="607" spans="1:5" ht="16.5" x14ac:dyDescent="0.3">
      <c r="A607" s="11"/>
      <c r="B607" s="6"/>
      <c r="C607" s="8"/>
      <c r="D607" s="8"/>
      <c r="E607" s="8"/>
    </row>
    <row r="608" spans="1:5" ht="16.5" x14ac:dyDescent="0.3">
      <c r="A608" s="12"/>
      <c r="B608" s="6"/>
      <c r="C608" s="8"/>
      <c r="D608" s="8"/>
      <c r="E608" s="8"/>
    </row>
    <row r="609" spans="1:5" ht="16.5" x14ac:dyDescent="0.3">
      <c r="A609" s="11"/>
      <c r="B609" s="6"/>
      <c r="C609" s="8"/>
      <c r="D609" s="8"/>
      <c r="E609" s="8"/>
    </row>
    <row r="610" spans="1:5" ht="16.5" x14ac:dyDescent="0.3">
      <c r="A610" s="12"/>
      <c r="B610" s="6"/>
      <c r="C610" s="8"/>
      <c r="D610" s="8"/>
      <c r="E610" s="8"/>
    </row>
    <row r="611" spans="1:5" ht="16.5" x14ac:dyDescent="0.3">
      <c r="A611" s="11"/>
      <c r="B611" s="6"/>
      <c r="C611" s="8"/>
      <c r="D611" s="8"/>
      <c r="E611" s="8"/>
    </row>
    <row r="612" spans="1:5" ht="16.5" x14ac:dyDescent="0.3">
      <c r="A612" s="12"/>
      <c r="B612" s="6"/>
      <c r="C612" s="8"/>
      <c r="D612" s="8"/>
      <c r="E612" s="8"/>
    </row>
    <row r="613" spans="1:5" ht="16.5" x14ac:dyDescent="0.3">
      <c r="A613" s="11"/>
      <c r="B613" s="6"/>
      <c r="C613" s="8"/>
      <c r="D613" s="8"/>
      <c r="E613" s="8"/>
    </row>
    <row r="614" spans="1:5" ht="16.5" x14ac:dyDescent="0.3">
      <c r="A614" s="12"/>
      <c r="B614" s="6"/>
      <c r="C614" s="8"/>
      <c r="D614" s="8"/>
      <c r="E614" s="8"/>
    </row>
    <row r="615" spans="1:5" ht="16.5" x14ac:dyDescent="0.3">
      <c r="A615" s="11"/>
      <c r="B615" s="6"/>
      <c r="C615" s="8"/>
      <c r="D615" s="8"/>
      <c r="E615" s="8"/>
    </row>
    <row r="616" spans="1:5" ht="16.5" x14ac:dyDescent="0.3">
      <c r="A616" s="12"/>
      <c r="B616" s="6"/>
      <c r="C616" s="8"/>
      <c r="D616" s="8"/>
      <c r="E616" s="8"/>
    </row>
    <row r="617" spans="1:5" ht="16.5" x14ac:dyDescent="0.3">
      <c r="A617" s="11"/>
      <c r="B617" s="6"/>
      <c r="C617" s="8"/>
      <c r="D617" s="8"/>
      <c r="E617" s="8"/>
    </row>
    <row r="618" spans="1:5" ht="16.5" x14ac:dyDescent="0.3">
      <c r="A618" s="12"/>
      <c r="B618" s="6"/>
      <c r="C618" s="8"/>
      <c r="D618" s="8"/>
      <c r="E618" s="8"/>
    </row>
    <row r="619" spans="1:5" ht="16.5" x14ac:dyDescent="0.3">
      <c r="A619" s="11"/>
      <c r="B619" s="6"/>
      <c r="C619" s="8"/>
      <c r="D619" s="8"/>
      <c r="E619" s="8"/>
    </row>
    <row r="620" spans="1:5" ht="16.5" x14ac:dyDescent="0.3">
      <c r="A620" s="12"/>
      <c r="B620" s="6"/>
      <c r="C620" s="8"/>
      <c r="D620" s="8"/>
      <c r="E620" s="8"/>
    </row>
    <row r="621" spans="1:5" ht="16.5" x14ac:dyDescent="0.3">
      <c r="A621" s="11"/>
      <c r="B621" s="6"/>
      <c r="C621" s="8"/>
      <c r="D621" s="8"/>
      <c r="E621" s="8"/>
    </row>
    <row r="622" spans="1:5" ht="16.5" x14ac:dyDescent="0.3">
      <c r="A622" s="12"/>
      <c r="B622" s="6"/>
      <c r="C622" s="8"/>
      <c r="D622" s="8"/>
      <c r="E622" s="8"/>
    </row>
    <row r="623" spans="1:5" ht="16.5" x14ac:dyDescent="0.3">
      <c r="A623" s="11"/>
      <c r="B623" s="6"/>
      <c r="C623" s="8"/>
      <c r="D623" s="8"/>
      <c r="E623" s="8"/>
    </row>
    <row r="624" spans="1:5" ht="16.5" x14ac:dyDescent="0.3">
      <c r="A624" s="12"/>
      <c r="B624" s="6"/>
      <c r="C624" s="8"/>
      <c r="D624" s="8"/>
      <c r="E624" s="8"/>
    </row>
    <row r="625" spans="1:5" ht="16.5" x14ac:dyDescent="0.3">
      <c r="A625" s="11"/>
      <c r="B625" s="6"/>
      <c r="C625" s="8"/>
      <c r="D625" s="8"/>
      <c r="E625" s="8"/>
    </row>
    <row r="626" spans="1:5" ht="16.5" x14ac:dyDescent="0.3">
      <c r="A626" s="12"/>
      <c r="B626" s="6"/>
      <c r="C626" s="8"/>
      <c r="D626" s="8"/>
      <c r="E626" s="8"/>
    </row>
    <row r="627" spans="1:5" ht="16.5" x14ac:dyDescent="0.3">
      <c r="A627" s="11"/>
      <c r="B627" s="6"/>
      <c r="C627" s="8"/>
      <c r="D627" s="8"/>
      <c r="E627" s="8"/>
    </row>
    <row r="628" spans="1:5" ht="16.5" x14ac:dyDescent="0.3">
      <c r="A628" s="12"/>
      <c r="B628" s="6"/>
      <c r="C628" s="8"/>
      <c r="D628" s="8"/>
      <c r="E628" s="8"/>
    </row>
    <row r="629" spans="1:5" ht="16.5" x14ac:dyDescent="0.3">
      <c r="A629" s="11"/>
      <c r="B629" s="6"/>
      <c r="C629" s="8"/>
      <c r="D629" s="8"/>
      <c r="E629" s="8"/>
    </row>
    <row r="630" spans="1:5" ht="16.5" x14ac:dyDescent="0.3">
      <c r="A630" s="12"/>
      <c r="B630" s="6"/>
      <c r="C630" s="8"/>
      <c r="D630" s="8"/>
      <c r="E630" s="8"/>
    </row>
    <row r="631" spans="1:5" ht="16.5" x14ac:dyDescent="0.3">
      <c r="A631" s="11"/>
      <c r="B631" s="6"/>
      <c r="C631" s="8"/>
      <c r="D631" s="8"/>
      <c r="E631" s="8"/>
    </row>
    <row r="632" spans="1:5" ht="16.5" x14ac:dyDescent="0.3">
      <c r="A632" s="12"/>
      <c r="B632" s="6"/>
      <c r="C632" s="8"/>
      <c r="D632" s="8"/>
      <c r="E632" s="8"/>
    </row>
    <row r="633" spans="1:5" ht="16.5" x14ac:dyDescent="0.3">
      <c r="A633" s="11"/>
      <c r="B633" s="6"/>
      <c r="C633" s="8"/>
      <c r="D633" s="8"/>
      <c r="E633" s="8"/>
    </row>
    <row r="634" spans="1:5" ht="16.5" x14ac:dyDescent="0.3">
      <c r="A634" s="12"/>
      <c r="B634" s="6"/>
      <c r="C634" s="8"/>
      <c r="D634" s="8"/>
      <c r="E634" s="8"/>
    </row>
    <row r="635" spans="1:5" ht="16.5" x14ac:dyDescent="0.3">
      <c r="A635" s="11"/>
      <c r="B635" s="6"/>
      <c r="C635" s="8"/>
      <c r="D635" s="8"/>
      <c r="E635" s="8"/>
    </row>
    <row r="636" spans="1:5" ht="16.5" x14ac:dyDescent="0.3">
      <c r="A636" s="12"/>
      <c r="B636" s="6"/>
      <c r="C636" s="8"/>
      <c r="D636" s="8"/>
      <c r="E636" s="8"/>
    </row>
    <row r="637" spans="1:5" ht="16.5" x14ac:dyDescent="0.3">
      <c r="A637" s="11"/>
      <c r="B637" s="6"/>
      <c r="C637" s="8"/>
      <c r="D637" s="8"/>
      <c r="E637" s="8"/>
    </row>
    <row r="638" spans="1:5" ht="16.5" x14ac:dyDescent="0.3">
      <c r="A638" s="12"/>
      <c r="B638" s="6"/>
      <c r="C638" s="8"/>
      <c r="D638" s="8"/>
      <c r="E638" s="8"/>
    </row>
    <row r="639" spans="1:5" ht="16.5" x14ac:dyDescent="0.3">
      <c r="A639" s="11"/>
      <c r="B639" s="6"/>
      <c r="C639" s="8"/>
      <c r="D639" s="8"/>
      <c r="E639" s="8"/>
    </row>
    <row r="640" spans="1:5" ht="16.5" x14ac:dyDescent="0.3">
      <c r="A640" s="12"/>
      <c r="B640" s="6"/>
      <c r="C640" s="8"/>
      <c r="D640" s="8"/>
      <c r="E640" s="8"/>
    </row>
    <row r="641" spans="1:5" ht="16.5" x14ac:dyDescent="0.3">
      <c r="A641" s="11"/>
      <c r="B641" s="6"/>
      <c r="C641" s="8"/>
      <c r="D641" s="8"/>
      <c r="E641" s="8"/>
    </row>
    <row r="642" spans="1:5" ht="16.5" x14ac:dyDescent="0.3">
      <c r="A642" s="12"/>
      <c r="B642" s="6"/>
      <c r="C642" s="8"/>
      <c r="D642" s="8"/>
      <c r="E642" s="8"/>
    </row>
    <row r="643" spans="1:5" ht="16.5" x14ac:dyDescent="0.3">
      <c r="A643" s="11"/>
      <c r="B643" s="6"/>
      <c r="C643" s="8"/>
      <c r="D643" s="8"/>
      <c r="E643" s="8"/>
    </row>
    <row r="644" spans="1:5" ht="16.5" x14ac:dyDescent="0.3">
      <c r="A644" s="12"/>
      <c r="B644" s="6"/>
      <c r="C644" s="8"/>
      <c r="D644" s="8"/>
      <c r="E644" s="8"/>
    </row>
    <row r="645" spans="1:5" ht="16.5" x14ac:dyDescent="0.3">
      <c r="A645" s="11"/>
      <c r="B645" s="6"/>
      <c r="C645" s="8"/>
      <c r="D645" s="8"/>
      <c r="E645" s="8"/>
    </row>
    <row r="646" spans="1:5" ht="16.5" x14ac:dyDescent="0.3">
      <c r="A646" s="12"/>
      <c r="B646" s="6"/>
      <c r="C646" s="8"/>
      <c r="D646" s="8"/>
      <c r="E646" s="8"/>
    </row>
    <row r="647" spans="1:5" ht="16.5" x14ac:dyDescent="0.3">
      <c r="A647" s="11"/>
      <c r="B647" s="6"/>
      <c r="C647" s="8"/>
      <c r="D647" s="8"/>
      <c r="E647" s="8"/>
    </row>
    <row r="648" spans="1:5" ht="16.5" x14ac:dyDescent="0.3">
      <c r="A648" s="12"/>
      <c r="B648" s="6"/>
      <c r="C648" s="8"/>
      <c r="D648" s="8"/>
      <c r="E648" s="8"/>
    </row>
    <row r="649" spans="1:5" ht="16.5" x14ac:dyDescent="0.3">
      <c r="A649" s="11"/>
      <c r="B649" s="6"/>
      <c r="C649" s="8"/>
      <c r="D649" s="8"/>
      <c r="E649" s="8"/>
    </row>
    <row r="650" spans="1:5" ht="16.5" x14ac:dyDescent="0.3">
      <c r="A650" s="12"/>
      <c r="B650" s="6"/>
      <c r="C650" s="8"/>
      <c r="D650" s="8"/>
      <c r="E650" s="8"/>
    </row>
    <row r="651" spans="1:5" ht="16.5" x14ac:dyDescent="0.3">
      <c r="A651" s="11"/>
      <c r="B651" s="6"/>
      <c r="C651" s="8"/>
      <c r="D651" s="8"/>
      <c r="E651" s="8"/>
    </row>
    <row r="652" spans="1:5" ht="16.5" x14ac:dyDescent="0.3">
      <c r="A652" s="12"/>
      <c r="B652" s="6"/>
      <c r="C652" s="8"/>
      <c r="D652" s="8"/>
      <c r="E652" s="8"/>
    </row>
    <row r="653" spans="1:5" ht="16.5" x14ac:dyDescent="0.3">
      <c r="A653" s="11"/>
      <c r="B653" s="6"/>
      <c r="C653" s="8"/>
      <c r="D653" s="8"/>
      <c r="E653" s="8"/>
    </row>
    <row r="654" spans="1:5" ht="16.5" x14ac:dyDescent="0.3">
      <c r="A654" s="12"/>
      <c r="B654" s="6"/>
      <c r="C654" s="8"/>
      <c r="D654" s="8"/>
      <c r="E654" s="8"/>
    </row>
    <row r="655" spans="1:5" ht="16.5" x14ac:dyDescent="0.3">
      <c r="A655" s="11"/>
      <c r="B655" s="6"/>
      <c r="C655" s="8"/>
      <c r="D655" s="8"/>
      <c r="E655" s="8"/>
    </row>
    <row r="656" spans="1:5" ht="16.5" x14ac:dyDescent="0.3">
      <c r="A656" s="12"/>
      <c r="B656" s="6"/>
      <c r="C656" s="8"/>
      <c r="D656" s="8"/>
      <c r="E656" s="8"/>
    </row>
    <row r="657" spans="1:5" ht="16.5" x14ac:dyDescent="0.3">
      <c r="A657" s="11"/>
      <c r="B657" s="6"/>
      <c r="C657" s="8"/>
      <c r="D657" s="8"/>
      <c r="E657" s="8"/>
    </row>
    <row r="658" spans="1:5" ht="16.5" x14ac:dyDescent="0.3">
      <c r="A658" s="12"/>
      <c r="B658" s="6"/>
      <c r="C658" s="8"/>
      <c r="D658" s="8"/>
      <c r="E658" s="8"/>
    </row>
    <row r="659" spans="1:5" ht="16.5" x14ac:dyDescent="0.3">
      <c r="A659" s="11"/>
      <c r="B659" s="6"/>
      <c r="C659" s="8"/>
      <c r="D659" s="8"/>
      <c r="E659" s="8"/>
    </row>
    <row r="660" spans="1:5" ht="16.5" x14ac:dyDescent="0.3">
      <c r="A660" s="12"/>
      <c r="B660" s="6"/>
      <c r="C660" s="8"/>
      <c r="D660" s="8"/>
      <c r="E660" s="8"/>
    </row>
    <row r="661" spans="1:5" ht="16.5" x14ac:dyDescent="0.3">
      <c r="A661" s="11"/>
      <c r="B661" s="6"/>
      <c r="C661" s="8"/>
      <c r="D661" s="8"/>
      <c r="E661" s="8"/>
    </row>
    <row r="662" spans="1:5" ht="16.5" x14ac:dyDescent="0.3">
      <c r="A662" s="12"/>
      <c r="B662" s="6"/>
      <c r="C662" s="8"/>
      <c r="D662" s="8"/>
      <c r="E662" s="8"/>
    </row>
    <row r="663" spans="1:5" ht="16.5" x14ac:dyDescent="0.3">
      <c r="A663" s="11"/>
      <c r="B663" s="6"/>
      <c r="C663" s="8"/>
      <c r="D663" s="8"/>
      <c r="E663" s="8"/>
    </row>
    <row r="664" spans="1:5" ht="16.5" x14ac:dyDescent="0.3">
      <c r="A664" s="12"/>
      <c r="B664" s="6"/>
      <c r="C664" s="8"/>
      <c r="D664" s="8"/>
      <c r="E664" s="8"/>
    </row>
    <row r="665" spans="1:5" ht="16.5" x14ac:dyDescent="0.3">
      <c r="A665" s="11"/>
      <c r="B665" s="6"/>
      <c r="C665" s="8"/>
      <c r="D665" s="8"/>
      <c r="E665" s="8"/>
    </row>
    <row r="666" spans="1:5" ht="16.5" x14ac:dyDescent="0.3">
      <c r="A666" s="12"/>
      <c r="B666" s="6"/>
      <c r="C666" s="8"/>
      <c r="D666" s="8"/>
      <c r="E666" s="8"/>
    </row>
    <row r="667" spans="1:5" ht="16.5" x14ac:dyDescent="0.3">
      <c r="A667" s="11"/>
      <c r="B667" s="6"/>
      <c r="C667" s="8"/>
      <c r="D667" s="8"/>
      <c r="E667" s="8"/>
    </row>
    <row r="668" spans="1:5" ht="16.5" x14ac:dyDescent="0.3">
      <c r="A668" s="12"/>
      <c r="B668" s="6"/>
      <c r="C668" s="8"/>
      <c r="D668" s="8"/>
      <c r="E668" s="8"/>
    </row>
    <row r="669" spans="1:5" ht="16.5" x14ac:dyDescent="0.3">
      <c r="A669" s="11"/>
      <c r="B669" s="6"/>
      <c r="C669" s="8"/>
      <c r="D669" s="8"/>
      <c r="E669" s="8"/>
    </row>
    <row r="670" spans="1:5" ht="16.5" x14ac:dyDescent="0.3">
      <c r="A670" s="12"/>
      <c r="B670" s="6"/>
      <c r="C670" s="8"/>
      <c r="D670" s="8"/>
      <c r="E670" s="8"/>
    </row>
    <row r="671" spans="1:5" ht="16.5" x14ac:dyDescent="0.3">
      <c r="A671" s="11"/>
      <c r="B671" s="6"/>
      <c r="C671" s="8"/>
      <c r="D671" s="8"/>
      <c r="E671" s="8"/>
    </row>
    <row r="672" spans="1:5" ht="16.5" x14ac:dyDescent="0.3">
      <c r="A672" s="12"/>
      <c r="B672" s="6"/>
      <c r="C672" s="8"/>
      <c r="D672" s="8"/>
      <c r="E672" s="8"/>
    </row>
    <row r="673" spans="1:5" ht="16.5" x14ac:dyDescent="0.3">
      <c r="A673" s="11"/>
      <c r="B673" s="6"/>
      <c r="C673" s="8"/>
      <c r="D673" s="8"/>
      <c r="E673" s="8"/>
    </row>
    <row r="674" spans="1:5" ht="16.5" x14ac:dyDescent="0.3">
      <c r="A674" s="12"/>
      <c r="B674" s="6"/>
      <c r="C674" s="8"/>
      <c r="D674" s="8"/>
      <c r="E674" s="8"/>
    </row>
    <row r="675" spans="1:5" ht="16.5" x14ac:dyDescent="0.3">
      <c r="A675" s="11"/>
      <c r="B675" s="6"/>
      <c r="C675" s="8"/>
      <c r="D675" s="8"/>
      <c r="E675" s="8"/>
    </row>
    <row r="676" spans="1:5" ht="16.5" x14ac:dyDescent="0.3">
      <c r="A676" s="12"/>
      <c r="B676" s="6"/>
      <c r="C676" s="8"/>
      <c r="D676" s="8"/>
      <c r="E676" s="8"/>
    </row>
    <row r="677" spans="1:5" ht="16.5" x14ac:dyDescent="0.3">
      <c r="A677" s="11"/>
      <c r="B677" s="6"/>
      <c r="C677" s="8"/>
      <c r="D677" s="8"/>
      <c r="E677" s="8"/>
    </row>
    <row r="678" spans="1:5" ht="16.5" x14ac:dyDescent="0.3">
      <c r="A678" s="12"/>
      <c r="B678" s="6"/>
      <c r="C678" s="8"/>
      <c r="D678" s="8"/>
      <c r="E678" s="8"/>
    </row>
    <row r="679" spans="1:5" ht="16.5" x14ac:dyDescent="0.3">
      <c r="A679" s="11"/>
      <c r="B679" s="6"/>
      <c r="C679" s="8"/>
      <c r="D679" s="8"/>
      <c r="E679" s="8"/>
    </row>
    <row r="680" spans="1:5" ht="16.5" x14ac:dyDescent="0.3">
      <c r="A680" s="12"/>
      <c r="B680" s="6"/>
      <c r="C680" s="8"/>
      <c r="D680" s="8"/>
      <c r="E680" s="8"/>
    </row>
    <row r="681" spans="1:5" ht="16.5" x14ac:dyDescent="0.3">
      <c r="A681" s="11"/>
      <c r="B681" s="6"/>
      <c r="C681" s="8"/>
      <c r="D681" s="8"/>
      <c r="E681" s="8"/>
    </row>
    <row r="682" spans="1:5" ht="16.5" x14ac:dyDescent="0.3">
      <c r="A682" s="12"/>
      <c r="B682" s="6"/>
      <c r="C682" s="8"/>
      <c r="D682" s="8"/>
      <c r="E682" s="8"/>
    </row>
    <row r="683" spans="1:5" ht="16.5" x14ac:dyDescent="0.3">
      <c r="A683" s="11"/>
      <c r="B683" s="6"/>
      <c r="C683" s="8"/>
      <c r="D683" s="8"/>
      <c r="E683" s="8"/>
    </row>
    <row r="684" spans="1:5" ht="16.5" x14ac:dyDescent="0.3">
      <c r="A684" s="12"/>
      <c r="B684" s="6"/>
      <c r="C684" s="8"/>
      <c r="D684" s="8"/>
      <c r="E684" s="8"/>
    </row>
    <row r="685" spans="1:5" ht="16.5" x14ac:dyDescent="0.3">
      <c r="A685" s="11"/>
      <c r="B685" s="6"/>
      <c r="C685" s="8"/>
      <c r="D685" s="8"/>
      <c r="E685" s="8"/>
    </row>
    <row r="686" spans="1:5" ht="16.5" x14ac:dyDescent="0.3">
      <c r="A686" s="12"/>
      <c r="B686" s="6"/>
      <c r="C686" s="8"/>
      <c r="D686" s="8"/>
      <c r="E686" s="8"/>
    </row>
    <row r="687" spans="1:5" ht="16.5" x14ac:dyDescent="0.3">
      <c r="A687" s="11"/>
      <c r="B687" s="6"/>
      <c r="C687" s="8"/>
      <c r="D687" s="8"/>
      <c r="E687" s="8"/>
    </row>
    <row r="688" spans="1:5" ht="16.5" x14ac:dyDescent="0.3">
      <c r="A688" s="12"/>
      <c r="B688" s="6"/>
      <c r="C688" s="8"/>
      <c r="D688" s="8"/>
      <c r="E688" s="8"/>
    </row>
    <row r="689" spans="1:5" ht="16.5" x14ac:dyDescent="0.3">
      <c r="A689" s="11"/>
      <c r="B689" s="6"/>
      <c r="C689" s="8"/>
      <c r="D689" s="8"/>
      <c r="E689" s="8"/>
    </row>
    <row r="690" spans="1:5" ht="16.5" x14ac:dyDescent="0.3">
      <c r="A690" s="12"/>
      <c r="B690" s="6"/>
      <c r="C690" s="8"/>
      <c r="D690" s="8"/>
      <c r="E690" s="8"/>
    </row>
    <row r="691" spans="1:5" ht="16.5" x14ac:dyDescent="0.3">
      <c r="A691" s="11"/>
      <c r="B691" s="6"/>
      <c r="C691" s="8"/>
      <c r="D691" s="8"/>
      <c r="E691" s="8"/>
    </row>
    <row r="692" spans="1:5" ht="16.5" x14ac:dyDescent="0.3">
      <c r="A692" s="12"/>
      <c r="B692" s="6"/>
      <c r="C692" s="8"/>
      <c r="D692" s="8"/>
      <c r="E692" s="8"/>
    </row>
    <row r="693" spans="1:5" ht="16.5" x14ac:dyDescent="0.3">
      <c r="A693" s="11"/>
      <c r="B693" s="6"/>
      <c r="C693" s="8"/>
      <c r="D693" s="8"/>
      <c r="E693" s="8"/>
    </row>
    <row r="694" spans="1:5" ht="16.5" x14ac:dyDescent="0.3">
      <c r="A694" s="12"/>
      <c r="B694" s="6"/>
      <c r="C694" s="8"/>
      <c r="D694" s="8"/>
      <c r="E694" s="8"/>
    </row>
    <row r="695" spans="1:5" ht="16.5" x14ac:dyDescent="0.3">
      <c r="A695" s="11"/>
      <c r="B695" s="6"/>
      <c r="C695" s="8"/>
      <c r="D695" s="8"/>
      <c r="E695" s="8"/>
    </row>
    <row r="696" spans="1:5" ht="16.5" x14ac:dyDescent="0.3">
      <c r="A696" s="12"/>
      <c r="B696" s="6"/>
      <c r="C696" s="8"/>
      <c r="D696" s="8"/>
      <c r="E696" s="8"/>
    </row>
    <row r="697" spans="1:5" ht="16.5" x14ac:dyDescent="0.3">
      <c r="A697" s="11"/>
      <c r="B697" s="6"/>
      <c r="C697" s="8"/>
      <c r="D697" s="8"/>
      <c r="E697" s="8"/>
    </row>
    <row r="698" spans="1:5" ht="16.5" x14ac:dyDescent="0.3">
      <c r="A698" s="12"/>
      <c r="B698" s="6"/>
      <c r="C698" s="8"/>
      <c r="D698" s="8"/>
      <c r="E698" s="8"/>
    </row>
    <row r="699" spans="1:5" ht="16.5" x14ac:dyDescent="0.3">
      <c r="A699" s="11"/>
      <c r="B699" s="6"/>
      <c r="C699" s="8"/>
      <c r="D699" s="8"/>
      <c r="E699" s="8"/>
    </row>
    <row r="700" spans="1:5" ht="16.5" x14ac:dyDescent="0.3">
      <c r="A700" s="12"/>
      <c r="B700" s="6"/>
      <c r="C700" s="8"/>
      <c r="D700" s="8"/>
      <c r="E700" s="8"/>
    </row>
    <row r="701" spans="1:5" ht="16.5" x14ac:dyDescent="0.3">
      <c r="A701" s="11"/>
      <c r="B701" s="6"/>
      <c r="C701" s="8"/>
      <c r="D701" s="8"/>
      <c r="E701" s="8"/>
    </row>
    <row r="702" spans="1:5" ht="16.5" x14ac:dyDescent="0.3">
      <c r="A702" s="12"/>
      <c r="B702" s="6"/>
      <c r="C702" s="8"/>
      <c r="D702" s="8"/>
      <c r="E702" s="8"/>
    </row>
    <row r="703" spans="1:5" ht="16.5" x14ac:dyDescent="0.3">
      <c r="A703" s="11"/>
      <c r="B703" s="6"/>
      <c r="C703" s="8"/>
      <c r="D703" s="8"/>
      <c r="E703" s="8"/>
    </row>
    <row r="704" spans="1:5" ht="16.5" x14ac:dyDescent="0.3">
      <c r="A704" s="12"/>
      <c r="B704" s="6"/>
      <c r="C704" s="8"/>
      <c r="D704" s="8"/>
      <c r="E704" s="8"/>
    </row>
    <row r="705" spans="1:5" ht="16.5" x14ac:dyDescent="0.3">
      <c r="A705" s="11"/>
      <c r="B705" s="6"/>
      <c r="C705" s="8"/>
      <c r="D705" s="8"/>
      <c r="E705" s="8"/>
    </row>
    <row r="706" spans="1:5" ht="16.5" x14ac:dyDescent="0.3">
      <c r="A706" s="12"/>
      <c r="B706" s="6"/>
      <c r="C706" s="8"/>
      <c r="D706" s="8"/>
      <c r="E706" s="8"/>
    </row>
    <row r="707" spans="1:5" ht="16.5" x14ac:dyDescent="0.3">
      <c r="A707" s="11"/>
      <c r="B707" s="6"/>
      <c r="C707" s="8"/>
      <c r="D707" s="8"/>
      <c r="E707" s="8"/>
    </row>
    <row r="708" spans="1:5" ht="16.5" x14ac:dyDescent="0.3">
      <c r="A708" s="12"/>
      <c r="B708" s="6"/>
      <c r="C708" s="8"/>
      <c r="D708" s="8"/>
      <c r="E708" s="8"/>
    </row>
    <row r="709" spans="1:5" ht="16.5" x14ac:dyDescent="0.3">
      <c r="A709" s="11"/>
      <c r="B709" s="6"/>
      <c r="C709" s="8"/>
      <c r="D709" s="8"/>
      <c r="E709" s="8"/>
    </row>
    <row r="710" spans="1:5" ht="16.5" x14ac:dyDescent="0.3">
      <c r="A710" s="12"/>
      <c r="B710" s="6"/>
      <c r="C710" s="8"/>
      <c r="D710" s="8"/>
      <c r="E710" s="8"/>
    </row>
    <row r="711" spans="1:5" ht="16.5" x14ac:dyDescent="0.3">
      <c r="A711" s="11"/>
      <c r="B711" s="6"/>
      <c r="C711" s="8"/>
      <c r="D711" s="8"/>
      <c r="E711" s="8"/>
    </row>
    <row r="712" spans="1:5" ht="16.5" x14ac:dyDescent="0.3">
      <c r="A712" s="12"/>
      <c r="B712" s="6"/>
      <c r="C712" s="8"/>
      <c r="D712" s="8"/>
      <c r="E712" s="8"/>
    </row>
    <row r="713" spans="1:5" ht="16.5" x14ac:dyDescent="0.3">
      <c r="A713" s="11"/>
      <c r="B713" s="6"/>
      <c r="C713" s="8"/>
      <c r="D713" s="8"/>
      <c r="E713" s="8"/>
    </row>
    <row r="714" spans="1:5" ht="16.5" x14ac:dyDescent="0.3">
      <c r="A714" s="12"/>
      <c r="B714" s="6"/>
      <c r="C714" s="8"/>
      <c r="D714" s="8"/>
      <c r="E714" s="8"/>
    </row>
    <row r="715" spans="1:5" ht="16.5" x14ac:dyDescent="0.3">
      <c r="A715" s="11"/>
      <c r="B715" s="6"/>
      <c r="C715" s="8"/>
      <c r="D715" s="8"/>
      <c r="E715" s="8"/>
    </row>
    <row r="716" spans="1:5" ht="16.5" x14ac:dyDescent="0.3">
      <c r="A716" s="12"/>
      <c r="B716" s="6"/>
      <c r="C716" s="8"/>
      <c r="D716" s="8"/>
      <c r="E716" s="8"/>
    </row>
    <row r="717" spans="1:5" ht="16.5" x14ac:dyDescent="0.3">
      <c r="A717" s="11"/>
      <c r="B717" s="6"/>
      <c r="C717" s="8"/>
      <c r="D717" s="8"/>
      <c r="E717" s="8"/>
    </row>
    <row r="718" spans="1:5" ht="16.5" x14ac:dyDescent="0.3">
      <c r="A718" s="12"/>
      <c r="B718" s="6"/>
      <c r="C718" s="8"/>
      <c r="D718" s="8"/>
      <c r="E718" s="8"/>
    </row>
    <row r="719" spans="1:5" ht="16.5" x14ac:dyDescent="0.3">
      <c r="A719" s="11"/>
      <c r="B719" s="6"/>
      <c r="C719" s="8"/>
      <c r="D719" s="8"/>
      <c r="E719" s="8"/>
    </row>
    <row r="720" spans="1:5" ht="16.5" x14ac:dyDescent="0.3">
      <c r="A720" s="12"/>
      <c r="B720" s="6"/>
      <c r="C720" s="8"/>
      <c r="D720" s="8"/>
      <c r="E720" s="8"/>
    </row>
    <row r="721" spans="1:5" ht="16.5" x14ac:dyDescent="0.3">
      <c r="A721" s="11"/>
      <c r="B721" s="6"/>
      <c r="C721" s="8"/>
      <c r="D721" s="8"/>
      <c r="E721" s="8"/>
    </row>
    <row r="722" spans="1:5" ht="16.5" x14ac:dyDescent="0.3">
      <c r="A722" s="12"/>
      <c r="B722" s="6"/>
      <c r="C722" s="8"/>
      <c r="D722" s="8"/>
      <c r="E722" s="8"/>
    </row>
    <row r="723" spans="1:5" ht="16.5" x14ac:dyDescent="0.3">
      <c r="A723" s="11"/>
      <c r="B723" s="6"/>
      <c r="C723" s="8"/>
      <c r="D723" s="8"/>
      <c r="E723" s="8"/>
    </row>
    <row r="724" spans="1:5" ht="16.5" x14ac:dyDescent="0.3">
      <c r="A724" s="12"/>
      <c r="B724" s="6"/>
      <c r="C724" s="8"/>
      <c r="D724" s="8"/>
      <c r="E724" s="8"/>
    </row>
    <row r="725" spans="1:5" ht="16.5" x14ac:dyDescent="0.3">
      <c r="A725" s="11"/>
      <c r="B725" s="6"/>
      <c r="C725" s="8"/>
      <c r="D725" s="8"/>
      <c r="E725" s="8"/>
    </row>
    <row r="726" spans="1:5" ht="16.5" x14ac:dyDescent="0.3">
      <c r="A726" s="12"/>
      <c r="B726" s="6"/>
      <c r="C726" s="8"/>
      <c r="D726" s="8"/>
      <c r="E726" s="8"/>
    </row>
    <row r="727" spans="1:5" ht="16.5" x14ac:dyDescent="0.3">
      <c r="A727" s="11"/>
      <c r="B727" s="6"/>
      <c r="C727" s="8"/>
      <c r="D727" s="8"/>
      <c r="E727" s="8"/>
    </row>
    <row r="728" spans="1:5" ht="16.5" x14ac:dyDescent="0.3">
      <c r="A728" s="12"/>
      <c r="B728" s="6"/>
      <c r="C728" s="8"/>
      <c r="D728" s="8"/>
      <c r="E728" s="8"/>
    </row>
    <row r="729" spans="1:5" ht="16.5" x14ac:dyDescent="0.3">
      <c r="A729" s="11"/>
      <c r="B729" s="6"/>
      <c r="C729" s="8"/>
      <c r="D729" s="8"/>
      <c r="E729" s="8"/>
    </row>
    <row r="730" spans="1:5" ht="16.5" x14ac:dyDescent="0.3">
      <c r="A730" s="12"/>
      <c r="B730" s="6"/>
      <c r="C730" s="8"/>
      <c r="D730" s="8"/>
      <c r="E730" s="8"/>
    </row>
    <row r="731" spans="1:5" ht="16.5" x14ac:dyDescent="0.3">
      <c r="A731" s="11"/>
      <c r="B731" s="6"/>
      <c r="C731" s="8"/>
      <c r="D731" s="8"/>
      <c r="E731" s="8"/>
    </row>
    <row r="732" spans="1:5" ht="16.5" x14ac:dyDescent="0.3">
      <c r="A732" s="12"/>
      <c r="B732" s="6"/>
      <c r="C732" s="8"/>
      <c r="D732" s="8"/>
      <c r="E732" s="8"/>
    </row>
    <row r="733" spans="1:5" ht="16.5" x14ac:dyDescent="0.3">
      <c r="A733" s="11"/>
      <c r="B733" s="6"/>
      <c r="C733" s="8"/>
      <c r="D733" s="8"/>
      <c r="E733" s="8"/>
    </row>
    <row r="734" spans="1:5" ht="16.5" x14ac:dyDescent="0.3">
      <c r="A734" s="12"/>
      <c r="B734" s="6"/>
      <c r="C734" s="8"/>
      <c r="D734" s="8"/>
      <c r="E734" s="8"/>
    </row>
    <row r="735" spans="1:5" ht="16.5" x14ac:dyDescent="0.3">
      <c r="A735" s="11"/>
      <c r="B735" s="6"/>
      <c r="C735" s="8"/>
      <c r="D735" s="8"/>
      <c r="E735" s="8"/>
    </row>
    <row r="736" spans="1:5" ht="16.5" x14ac:dyDescent="0.3">
      <c r="A736" s="12"/>
      <c r="B736" s="6"/>
      <c r="C736" s="8"/>
      <c r="D736" s="8"/>
      <c r="E736" s="8"/>
    </row>
    <row r="737" spans="1:5" ht="16.5" x14ac:dyDescent="0.3">
      <c r="A737" s="11"/>
      <c r="B737" s="6"/>
      <c r="C737" s="8"/>
      <c r="D737" s="8"/>
      <c r="E737" s="8"/>
    </row>
    <row r="738" spans="1:5" ht="16.5" x14ac:dyDescent="0.3">
      <c r="A738" s="12"/>
      <c r="B738" s="6"/>
      <c r="C738" s="8"/>
      <c r="D738" s="8"/>
      <c r="E738" s="8"/>
    </row>
    <row r="739" spans="1:5" ht="16.5" x14ac:dyDescent="0.3">
      <c r="A739" s="11"/>
      <c r="B739" s="6"/>
      <c r="C739" s="8"/>
      <c r="D739" s="8"/>
      <c r="E739" s="8"/>
    </row>
    <row r="740" spans="1:5" ht="16.5" x14ac:dyDescent="0.3">
      <c r="A740" s="12"/>
      <c r="B740" s="6"/>
      <c r="C740" s="8"/>
      <c r="D740" s="8"/>
      <c r="E740" s="8"/>
    </row>
    <row r="741" spans="1:5" ht="16.5" x14ac:dyDescent="0.3">
      <c r="A741" s="11"/>
      <c r="B741" s="6"/>
      <c r="C741" s="8"/>
      <c r="D741" s="8"/>
      <c r="E741" s="8"/>
    </row>
    <row r="742" spans="1:5" ht="16.5" x14ac:dyDescent="0.3">
      <c r="A742" s="12"/>
      <c r="B742" s="6"/>
      <c r="C742" s="8"/>
      <c r="D742" s="8"/>
      <c r="E742" s="8"/>
    </row>
    <row r="743" spans="1:5" ht="16.5" x14ac:dyDescent="0.3">
      <c r="A743" s="11"/>
      <c r="B743" s="6"/>
      <c r="C743" s="8"/>
      <c r="D743" s="8"/>
      <c r="E743" s="8"/>
    </row>
    <row r="744" spans="1:5" ht="16.5" x14ac:dyDescent="0.3">
      <c r="A744" s="12"/>
      <c r="B744" s="6"/>
      <c r="C744" s="8"/>
      <c r="D744" s="8"/>
      <c r="E744" s="8"/>
    </row>
    <row r="745" spans="1:5" ht="16.5" x14ac:dyDescent="0.3">
      <c r="A745" s="11"/>
      <c r="B745" s="6"/>
      <c r="C745" s="8"/>
      <c r="D745" s="8"/>
      <c r="E745" s="8"/>
    </row>
    <row r="746" spans="1:5" ht="16.5" x14ac:dyDescent="0.3">
      <c r="A746" s="12"/>
      <c r="B746" s="6"/>
      <c r="C746" s="8"/>
      <c r="D746" s="8"/>
      <c r="E746" s="8"/>
    </row>
    <row r="747" spans="1:5" ht="16.5" x14ac:dyDescent="0.3">
      <c r="A747" s="11"/>
      <c r="B747" s="6"/>
      <c r="C747" s="8"/>
      <c r="D747" s="8"/>
      <c r="E747" s="8"/>
    </row>
    <row r="748" spans="1:5" ht="16.5" x14ac:dyDescent="0.3">
      <c r="A748" s="12"/>
      <c r="B748" s="6"/>
      <c r="C748" s="8"/>
      <c r="D748" s="8"/>
      <c r="E748" s="8"/>
    </row>
    <row r="749" spans="1:5" ht="16.5" x14ac:dyDescent="0.3">
      <c r="A749" s="11"/>
      <c r="B749" s="6"/>
      <c r="C749" s="8"/>
      <c r="D749" s="8"/>
      <c r="E749" s="8"/>
    </row>
    <row r="750" spans="1:5" ht="16.5" x14ac:dyDescent="0.3">
      <c r="A750" s="12"/>
      <c r="B750" s="6"/>
      <c r="C750" s="8"/>
      <c r="D750" s="8"/>
      <c r="E750" s="8"/>
    </row>
    <row r="751" spans="1:5" ht="16.5" x14ac:dyDescent="0.3">
      <c r="A751" s="11"/>
      <c r="B751" s="6"/>
      <c r="C751" s="8"/>
      <c r="D751" s="8"/>
      <c r="E751" s="8"/>
    </row>
    <row r="752" spans="1:5" ht="16.5" x14ac:dyDescent="0.3">
      <c r="A752" s="12"/>
      <c r="B752" s="6"/>
      <c r="C752" s="8"/>
      <c r="D752" s="8"/>
      <c r="E752" s="8"/>
    </row>
    <row r="753" spans="1:5" ht="16.5" x14ac:dyDescent="0.3">
      <c r="A753" s="11"/>
      <c r="B753" s="6"/>
      <c r="C753" s="8"/>
      <c r="D753" s="8"/>
      <c r="E753" s="8"/>
    </row>
    <row r="754" spans="1:5" ht="16.5" x14ac:dyDescent="0.3">
      <c r="A754" s="12"/>
      <c r="B754" s="6"/>
      <c r="C754" s="8"/>
      <c r="D754" s="8"/>
      <c r="E754" s="8"/>
    </row>
    <row r="755" spans="1:5" ht="16.5" x14ac:dyDescent="0.3">
      <c r="A755" s="11"/>
      <c r="B755" s="6"/>
      <c r="C755" s="8"/>
      <c r="D755" s="8"/>
      <c r="E755" s="8"/>
    </row>
    <row r="756" spans="1:5" ht="16.5" x14ac:dyDescent="0.3">
      <c r="A756" s="12"/>
      <c r="B756" s="6"/>
      <c r="C756" s="8"/>
      <c r="D756" s="8"/>
      <c r="E756" s="8"/>
    </row>
    <row r="757" spans="1:5" ht="16.5" x14ac:dyDescent="0.3">
      <c r="A757" s="11"/>
      <c r="B757" s="6"/>
      <c r="C757" s="8"/>
      <c r="D757" s="8"/>
      <c r="E757" s="8"/>
    </row>
    <row r="758" spans="1:5" ht="16.5" x14ac:dyDescent="0.3">
      <c r="A758" s="12"/>
      <c r="B758" s="6"/>
      <c r="C758" s="8"/>
      <c r="D758" s="8"/>
      <c r="E758" s="8"/>
    </row>
    <row r="759" spans="1:5" ht="16.5" x14ac:dyDescent="0.3">
      <c r="A759" s="11"/>
      <c r="B759" s="6"/>
      <c r="C759" s="8"/>
      <c r="D759" s="8"/>
      <c r="E759" s="8"/>
    </row>
    <row r="760" spans="1:5" ht="16.5" x14ac:dyDescent="0.3">
      <c r="A760" s="12"/>
      <c r="B760" s="6"/>
      <c r="C760" s="8"/>
      <c r="D760" s="8"/>
      <c r="E760" s="8"/>
    </row>
    <row r="761" spans="1:5" ht="16.5" x14ac:dyDescent="0.3">
      <c r="A761" s="11"/>
      <c r="B761" s="6"/>
      <c r="C761" s="8"/>
      <c r="D761" s="8"/>
      <c r="E761" s="8"/>
    </row>
    <row r="762" spans="1:5" ht="16.5" x14ac:dyDescent="0.3">
      <c r="A762" s="12"/>
      <c r="B762" s="6"/>
      <c r="C762" s="8"/>
      <c r="D762" s="8"/>
      <c r="E762" s="8"/>
    </row>
    <row r="763" spans="1:5" ht="16.5" x14ac:dyDescent="0.3">
      <c r="A763" s="11"/>
      <c r="B763" s="6"/>
      <c r="C763" s="8"/>
      <c r="D763" s="8"/>
      <c r="E763" s="8"/>
    </row>
    <row r="764" spans="1:5" ht="16.5" x14ac:dyDescent="0.3">
      <c r="A764" s="12"/>
      <c r="B764" s="6"/>
      <c r="C764" s="8"/>
      <c r="D764" s="8"/>
      <c r="E764" s="8"/>
    </row>
    <row r="765" spans="1:5" ht="16.5" x14ac:dyDescent="0.3">
      <c r="A765" s="11"/>
      <c r="B765" s="6"/>
      <c r="C765" s="8"/>
      <c r="D765" s="8"/>
      <c r="E765" s="8"/>
    </row>
    <row r="766" spans="1:5" ht="16.5" x14ac:dyDescent="0.3">
      <c r="A766" s="12"/>
      <c r="B766" s="6"/>
      <c r="C766" s="8"/>
      <c r="D766" s="8"/>
      <c r="E766" s="8"/>
    </row>
    <row r="767" spans="1:5" ht="16.5" x14ac:dyDescent="0.3">
      <c r="A767" s="11"/>
      <c r="B767" s="6"/>
      <c r="C767" s="8"/>
      <c r="D767" s="8"/>
      <c r="E767" s="8"/>
    </row>
    <row r="768" spans="1:5" ht="16.5" x14ac:dyDescent="0.3">
      <c r="A768" s="12"/>
      <c r="B768" s="6"/>
      <c r="C768" s="8"/>
      <c r="D768" s="8"/>
      <c r="E768" s="8"/>
    </row>
    <row r="769" spans="1:5" ht="16.5" x14ac:dyDescent="0.3">
      <c r="A769" s="11"/>
      <c r="B769" s="6"/>
      <c r="C769" s="8"/>
      <c r="D769" s="8"/>
      <c r="E769" s="8"/>
    </row>
    <row r="770" spans="1:5" ht="16.5" x14ac:dyDescent="0.3">
      <c r="A770" s="12"/>
      <c r="B770" s="6"/>
      <c r="C770" s="8"/>
      <c r="D770" s="8"/>
      <c r="E770" s="8"/>
    </row>
    <row r="771" spans="1:5" ht="16.5" x14ac:dyDescent="0.3">
      <c r="A771" s="11"/>
      <c r="B771" s="6"/>
      <c r="C771" s="8"/>
      <c r="D771" s="8"/>
      <c r="E771" s="8"/>
    </row>
    <row r="772" spans="1:5" ht="16.5" x14ac:dyDescent="0.3">
      <c r="A772" s="12"/>
      <c r="B772" s="6"/>
      <c r="C772" s="8"/>
      <c r="D772" s="8"/>
      <c r="E772" s="8"/>
    </row>
    <row r="773" spans="1:5" ht="16.5" x14ac:dyDescent="0.3">
      <c r="A773" s="11"/>
      <c r="B773" s="6"/>
      <c r="C773" s="8"/>
      <c r="D773" s="8"/>
      <c r="E773" s="8"/>
    </row>
    <row r="774" spans="1:5" ht="16.5" x14ac:dyDescent="0.3">
      <c r="A774" s="12"/>
      <c r="B774" s="6"/>
      <c r="C774" s="8"/>
      <c r="D774" s="8"/>
      <c r="E774" s="8"/>
    </row>
    <row r="775" spans="1:5" ht="16.5" x14ac:dyDescent="0.3">
      <c r="A775" s="11"/>
      <c r="B775" s="6"/>
      <c r="C775" s="8"/>
      <c r="D775" s="8"/>
      <c r="E775" s="8"/>
    </row>
    <row r="776" spans="1:5" ht="16.5" x14ac:dyDescent="0.3">
      <c r="A776" s="12"/>
      <c r="B776" s="6"/>
      <c r="C776" s="8"/>
      <c r="D776" s="8"/>
      <c r="E776" s="8"/>
    </row>
    <row r="777" spans="1:5" ht="16.5" x14ac:dyDescent="0.3">
      <c r="A777" s="11"/>
      <c r="B777" s="6"/>
      <c r="C777" s="8"/>
      <c r="D777" s="8"/>
      <c r="E777" s="8"/>
    </row>
    <row r="778" spans="1:5" ht="16.5" x14ac:dyDescent="0.3">
      <c r="A778" s="12"/>
      <c r="B778" s="6"/>
      <c r="C778" s="8"/>
      <c r="D778" s="8"/>
      <c r="E778" s="8"/>
    </row>
    <row r="779" spans="1:5" ht="16.5" x14ac:dyDescent="0.3">
      <c r="A779" s="11"/>
      <c r="B779" s="6"/>
      <c r="C779" s="8"/>
      <c r="D779" s="8"/>
      <c r="E779" s="8"/>
    </row>
    <row r="780" spans="1:5" ht="16.5" x14ac:dyDescent="0.3">
      <c r="A780" s="12"/>
      <c r="B780" s="6"/>
      <c r="C780" s="8"/>
      <c r="D780" s="8"/>
      <c r="E780" s="8"/>
    </row>
    <row r="781" spans="1:5" ht="16.5" x14ac:dyDescent="0.3">
      <c r="A781" s="11"/>
      <c r="B781" s="6"/>
      <c r="C781" s="8"/>
      <c r="D781" s="8"/>
      <c r="E781" s="8"/>
    </row>
    <row r="782" spans="1:5" ht="16.5" x14ac:dyDescent="0.3">
      <c r="A782" s="12"/>
      <c r="B782" s="6"/>
      <c r="C782" s="8"/>
      <c r="D782" s="8"/>
      <c r="E782" s="8"/>
    </row>
    <row r="783" spans="1:5" ht="16.5" x14ac:dyDescent="0.3">
      <c r="A783" s="11"/>
      <c r="B783" s="6"/>
      <c r="C783" s="8"/>
      <c r="D783" s="8"/>
      <c r="E783" s="8"/>
    </row>
    <row r="784" spans="1:5" ht="16.5" x14ac:dyDescent="0.3">
      <c r="A784" s="12"/>
      <c r="B784" s="6"/>
      <c r="C784" s="8"/>
      <c r="D784" s="8"/>
      <c r="E784" s="8"/>
    </row>
    <row r="785" spans="1:5" ht="16.5" x14ac:dyDescent="0.3">
      <c r="A785" s="11"/>
      <c r="B785" s="6"/>
      <c r="C785" s="8"/>
      <c r="D785" s="8"/>
      <c r="E785" s="8"/>
    </row>
    <row r="786" spans="1:5" ht="16.5" x14ac:dyDescent="0.3">
      <c r="A786" s="12"/>
      <c r="B786" s="6"/>
      <c r="C786" s="8"/>
      <c r="D786" s="8"/>
      <c r="E786" s="8"/>
    </row>
    <row r="787" spans="1:5" ht="16.5" x14ac:dyDescent="0.3">
      <c r="A787" s="11"/>
      <c r="B787" s="6"/>
      <c r="C787" s="8"/>
      <c r="D787" s="8"/>
      <c r="E787" s="8"/>
    </row>
    <row r="788" spans="1:5" ht="16.5" x14ac:dyDescent="0.3">
      <c r="A788" s="12"/>
      <c r="B788" s="6"/>
      <c r="C788" s="8"/>
      <c r="D788" s="8"/>
      <c r="E788" s="8"/>
    </row>
    <row r="789" spans="1:5" ht="16.5" x14ac:dyDescent="0.3">
      <c r="A789" s="11"/>
      <c r="B789" s="6"/>
      <c r="C789" s="8"/>
      <c r="D789" s="8"/>
      <c r="E789" s="8"/>
    </row>
    <row r="790" spans="1:5" ht="16.5" x14ac:dyDescent="0.3">
      <c r="A790" s="12"/>
      <c r="B790" s="6"/>
      <c r="C790" s="8"/>
      <c r="D790" s="8"/>
      <c r="E790" s="8"/>
    </row>
    <row r="791" spans="1:5" ht="16.5" x14ac:dyDescent="0.3">
      <c r="A791" s="11"/>
      <c r="B791" s="6"/>
      <c r="C791" s="8"/>
      <c r="D791" s="8"/>
      <c r="E791" s="8"/>
    </row>
    <row r="792" spans="1:5" ht="16.5" x14ac:dyDescent="0.3">
      <c r="A792" s="12"/>
      <c r="B792" s="6"/>
      <c r="C792" s="8"/>
      <c r="D792" s="8"/>
      <c r="E792" s="8"/>
    </row>
    <row r="793" spans="1:5" ht="16.5" x14ac:dyDescent="0.3">
      <c r="A793" s="11"/>
      <c r="B793" s="6"/>
      <c r="C793" s="8"/>
      <c r="D793" s="8"/>
      <c r="E793" s="8"/>
    </row>
    <row r="794" spans="1:5" ht="16.5" x14ac:dyDescent="0.3">
      <c r="A794" s="12"/>
      <c r="B794" s="6"/>
      <c r="C794" s="8"/>
      <c r="D794" s="8"/>
      <c r="E794" s="8"/>
    </row>
    <row r="795" spans="1:5" ht="16.5" x14ac:dyDescent="0.3">
      <c r="A795" s="11"/>
      <c r="B795" s="6"/>
      <c r="C795" s="8"/>
      <c r="D795" s="8"/>
      <c r="E795" s="8"/>
    </row>
    <row r="796" spans="1:5" ht="16.5" x14ac:dyDescent="0.3">
      <c r="A796" s="12"/>
      <c r="B796" s="6"/>
      <c r="C796" s="8"/>
      <c r="D796" s="8"/>
      <c r="E796" s="8"/>
    </row>
    <row r="797" spans="1:5" ht="16.5" x14ac:dyDescent="0.3">
      <c r="A797" s="11"/>
      <c r="B797" s="6"/>
      <c r="C797" s="8"/>
      <c r="D797" s="8"/>
      <c r="E797" s="8"/>
    </row>
    <row r="798" spans="1:5" ht="16.5" x14ac:dyDescent="0.3">
      <c r="A798" s="12"/>
      <c r="B798" s="6"/>
      <c r="C798" s="8"/>
      <c r="D798" s="8"/>
      <c r="E798" s="8"/>
    </row>
    <row r="799" spans="1:5" ht="16.5" x14ac:dyDescent="0.3">
      <c r="A799" s="11"/>
      <c r="B799" s="6"/>
      <c r="C799" s="8"/>
      <c r="D799" s="8"/>
      <c r="E799" s="8"/>
    </row>
    <row r="800" spans="1:5" ht="16.5" x14ac:dyDescent="0.3">
      <c r="A800" s="12"/>
      <c r="B800" s="6"/>
      <c r="C800" s="8"/>
      <c r="D800" s="8"/>
      <c r="E800" s="8"/>
    </row>
    <row r="801" spans="1:5" ht="16.5" x14ac:dyDescent="0.3">
      <c r="A801" s="11"/>
      <c r="B801" s="6"/>
      <c r="C801" s="8"/>
      <c r="D801" s="8"/>
      <c r="E801" s="8"/>
    </row>
    <row r="802" spans="1:5" ht="16.5" x14ac:dyDescent="0.3">
      <c r="A802" s="12"/>
      <c r="B802" s="6"/>
      <c r="C802" s="8"/>
      <c r="D802" s="8"/>
      <c r="E802" s="8"/>
    </row>
    <row r="803" spans="1:5" ht="16.5" x14ac:dyDescent="0.3">
      <c r="A803" s="11"/>
      <c r="B803" s="6"/>
      <c r="C803" s="8"/>
      <c r="D803" s="8"/>
      <c r="E803" s="8"/>
    </row>
    <row r="804" spans="1:5" ht="16.5" x14ac:dyDescent="0.3">
      <c r="A804" s="12"/>
      <c r="B804" s="6"/>
      <c r="C804" s="8"/>
      <c r="D804" s="8"/>
      <c r="E804" s="8"/>
    </row>
    <row r="805" spans="1:5" ht="16.5" x14ac:dyDescent="0.3">
      <c r="A805" s="11"/>
      <c r="B805" s="6"/>
      <c r="C805" s="8"/>
      <c r="D805" s="8"/>
      <c r="E805" s="8"/>
    </row>
    <row r="806" spans="1:5" ht="16.5" x14ac:dyDescent="0.3">
      <c r="A806" s="12"/>
      <c r="B806" s="6"/>
      <c r="C806" s="8"/>
      <c r="D806" s="8"/>
      <c r="E806" s="8"/>
    </row>
    <row r="807" spans="1:5" ht="16.5" x14ac:dyDescent="0.3">
      <c r="A807" s="11"/>
      <c r="B807" s="6"/>
      <c r="C807" s="8"/>
      <c r="D807" s="8"/>
      <c r="E807" s="8"/>
    </row>
    <row r="808" spans="1:5" ht="16.5" x14ac:dyDescent="0.3">
      <c r="A808" s="12"/>
      <c r="B808" s="6"/>
      <c r="C808" s="8"/>
      <c r="D808" s="8"/>
      <c r="E808" s="8"/>
    </row>
    <row r="809" spans="1:5" ht="16.5" x14ac:dyDescent="0.3">
      <c r="A809" s="11"/>
      <c r="B809" s="6"/>
      <c r="C809" s="8"/>
      <c r="D809" s="8"/>
      <c r="E809" s="8"/>
    </row>
    <row r="810" spans="1:5" ht="16.5" x14ac:dyDescent="0.3">
      <c r="A810" s="12"/>
      <c r="B810" s="6"/>
      <c r="C810" s="8"/>
      <c r="D810" s="8"/>
      <c r="E810" s="8"/>
    </row>
    <row r="811" spans="1:5" ht="16.5" x14ac:dyDescent="0.3">
      <c r="A811" s="11"/>
      <c r="B811" s="6"/>
      <c r="C811" s="8"/>
      <c r="D811" s="8"/>
      <c r="E811" s="8"/>
    </row>
    <row r="812" spans="1:5" ht="16.5" x14ac:dyDescent="0.3">
      <c r="A812" s="12"/>
      <c r="B812" s="6"/>
      <c r="C812" s="8"/>
      <c r="D812" s="8"/>
      <c r="E812" s="8"/>
    </row>
    <row r="813" spans="1:5" ht="16.5" x14ac:dyDescent="0.3">
      <c r="A813" s="11"/>
      <c r="B813" s="6"/>
      <c r="C813" s="8"/>
      <c r="D813" s="8"/>
      <c r="E813" s="8"/>
    </row>
    <row r="814" spans="1:5" ht="16.5" x14ac:dyDescent="0.3">
      <c r="A814" s="12"/>
      <c r="B814" s="6"/>
      <c r="C814" s="8"/>
      <c r="D814" s="8"/>
      <c r="E814" s="8"/>
    </row>
    <row r="815" spans="1:5" ht="16.5" x14ac:dyDescent="0.3">
      <c r="A815" s="11"/>
      <c r="B815" s="6"/>
      <c r="C815" s="8"/>
      <c r="D815" s="8"/>
      <c r="E815" s="8"/>
    </row>
    <row r="816" spans="1:5" ht="16.5" x14ac:dyDescent="0.3">
      <c r="A816" s="12"/>
      <c r="B816" s="6"/>
      <c r="C816" s="8"/>
      <c r="D816" s="8"/>
      <c r="E816" s="8"/>
    </row>
    <row r="817" spans="1:5" ht="16.5" x14ac:dyDescent="0.3">
      <c r="A817" s="11"/>
      <c r="B817" s="6"/>
      <c r="C817" s="8"/>
      <c r="D817" s="8"/>
      <c r="E817" s="8"/>
    </row>
    <row r="818" spans="1:5" ht="16.5" x14ac:dyDescent="0.3">
      <c r="A818" s="12"/>
      <c r="B818" s="6"/>
      <c r="C818" s="8"/>
      <c r="D818" s="8"/>
      <c r="E818" s="8"/>
    </row>
    <row r="819" spans="1:5" ht="16.5" x14ac:dyDescent="0.3">
      <c r="A819" s="11"/>
      <c r="B819" s="6"/>
      <c r="C819" s="8"/>
      <c r="D819" s="8"/>
      <c r="E819" s="8"/>
    </row>
    <row r="820" spans="1:5" ht="16.5" x14ac:dyDescent="0.3">
      <c r="A820" s="12"/>
      <c r="B820" s="6"/>
      <c r="C820" s="8"/>
      <c r="D820" s="8"/>
      <c r="E820" s="8"/>
    </row>
    <row r="821" spans="1:5" ht="16.5" x14ac:dyDescent="0.3">
      <c r="A821" s="11"/>
      <c r="B821" s="6"/>
      <c r="C821" s="8"/>
      <c r="D821" s="8"/>
      <c r="E821" s="8"/>
    </row>
    <row r="822" spans="1:5" ht="16.5" x14ac:dyDescent="0.3">
      <c r="A822" s="12"/>
      <c r="B822" s="6"/>
      <c r="C822" s="8"/>
      <c r="D822" s="8"/>
      <c r="E822" s="8"/>
    </row>
    <row r="823" spans="1:5" ht="16.5" x14ac:dyDescent="0.3">
      <c r="A823" s="11"/>
      <c r="B823" s="6"/>
      <c r="C823" s="8"/>
      <c r="D823" s="8"/>
      <c r="E823" s="8"/>
    </row>
    <row r="824" spans="1:5" ht="16.5" x14ac:dyDescent="0.3">
      <c r="A824" s="12"/>
      <c r="B824" s="6"/>
      <c r="C824" s="8"/>
      <c r="D824" s="8"/>
      <c r="E824" s="8"/>
    </row>
    <row r="825" spans="1:5" ht="16.5" x14ac:dyDescent="0.3">
      <c r="A825" s="11"/>
      <c r="B825" s="6"/>
      <c r="C825" s="8"/>
      <c r="D825" s="8"/>
      <c r="E825" s="8"/>
    </row>
    <row r="826" spans="1:5" ht="16.5" x14ac:dyDescent="0.3">
      <c r="A826" s="12"/>
      <c r="B826" s="6"/>
      <c r="C826" s="8"/>
      <c r="D826" s="8"/>
      <c r="E826" s="8"/>
    </row>
    <row r="827" spans="1:5" ht="16.5" x14ac:dyDescent="0.3">
      <c r="A827" s="11"/>
      <c r="B827" s="6"/>
      <c r="C827" s="8"/>
      <c r="D827" s="8"/>
      <c r="E827" s="8"/>
    </row>
    <row r="828" spans="1:5" ht="16.5" x14ac:dyDescent="0.3">
      <c r="A828" s="12"/>
      <c r="B828" s="6"/>
      <c r="C828" s="8"/>
      <c r="D828" s="8"/>
      <c r="E828" s="8"/>
    </row>
    <row r="829" spans="1:5" ht="16.5" x14ac:dyDescent="0.3">
      <c r="A829" s="11"/>
      <c r="B829" s="6"/>
      <c r="C829" s="8"/>
      <c r="D829" s="8"/>
      <c r="E829" s="8"/>
    </row>
    <row r="830" spans="1:5" ht="16.5" x14ac:dyDescent="0.3">
      <c r="A830" s="12"/>
      <c r="B830" s="6"/>
      <c r="C830" s="8"/>
      <c r="D830" s="8"/>
      <c r="E830" s="8"/>
    </row>
    <row r="831" spans="1:5" ht="16.5" x14ac:dyDescent="0.3">
      <c r="A831" s="11"/>
      <c r="B831" s="6"/>
      <c r="C831" s="8"/>
      <c r="D831" s="8"/>
      <c r="E831" s="8"/>
    </row>
    <row r="832" spans="1:5" ht="16.5" x14ac:dyDescent="0.3">
      <c r="A832" s="12"/>
      <c r="B832" s="6"/>
      <c r="C832" s="8"/>
      <c r="D832" s="8"/>
      <c r="E832" s="8"/>
    </row>
    <row r="833" spans="1:5" ht="16.5" x14ac:dyDescent="0.3">
      <c r="A833" s="11"/>
      <c r="B833" s="6"/>
      <c r="C833" s="8"/>
      <c r="D833" s="8"/>
      <c r="E833" s="8"/>
    </row>
    <row r="834" spans="1:5" ht="16.5" x14ac:dyDescent="0.3">
      <c r="A834" s="12"/>
      <c r="B834" s="6"/>
      <c r="C834" s="8"/>
      <c r="D834" s="8"/>
      <c r="E834" s="8"/>
    </row>
    <row r="835" spans="1:5" ht="16.5" x14ac:dyDescent="0.3">
      <c r="A835" s="11"/>
      <c r="B835" s="6"/>
      <c r="C835" s="8"/>
      <c r="D835" s="8"/>
      <c r="E835" s="8"/>
    </row>
    <row r="836" spans="1:5" ht="16.5" x14ac:dyDescent="0.3">
      <c r="A836" s="12"/>
      <c r="B836" s="6"/>
      <c r="C836" s="8"/>
      <c r="D836" s="8"/>
      <c r="E836" s="8"/>
    </row>
    <row r="837" spans="1:5" ht="16.5" x14ac:dyDescent="0.3">
      <c r="A837" s="11"/>
      <c r="B837" s="6"/>
      <c r="C837" s="8"/>
      <c r="D837" s="8"/>
      <c r="E837" s="8"/>
    </row>
    <row r="838" spans="1:5" ht="16.5" x14ac:dyDescent="0.3">
      <c r="A838" s="12"/>
      <c r="B838" s="6"/>
      <c r="C838" s="8"/>
      <c r="D838" s="8"/>
      <c r="E838" s="8"/>
    </row>
    <row r="839" spans="1:5" ht="16.5" x14ac:dyDescent="0.3">
      <c r="A839" s="11"/>
      <c r="B839" s="6"/>
      <c r="C839" s="8"/>
      <c r="D839" s="8"/>
      <c r="E839" s="8"/>
    </row>
    <row r="840" spans="1:5" ht="16.5" x14ac:dyDescent="0.3">
      <c r="A840" s="12"/>
      <c r="B840" s="6"/>
      <c r="C840" s="8"/>
      <c r="D840" s="8"/>
      <c r="E840" s="8"/>
    </row>
    <row r="841" spans="1:5" ht="16.5" x14ac:dyDescent="0.3">
      <c r="A841" s="11"/>
      <c r="B841" s="6"/>
      <c r="C841" s="8"/>
      <c r="D841" s="8"/>
      <c r="E841" s="8"/>
    </row>
    <row r="842" spans="1:5" ht="16.5" x14ac:dyDescent="0.3">
      <c r="A842" s="12"/>
      <c r="B842" s="6"/>
      <c r="C842" s="8"/>
      <c r="D842" s="8"/>
      <c r="E842" s="8"/>
    </row>
    <row r="843" spans="1:5" ht="16.5" x14ac:dyDescent="0.3">
      <c r="A843" s="11"/>
      <c r="B843" s="6"/>
      <c r="C843" s="8"/>
      <c r="D843" s="8"/>
      <c r="E843" s="8"/>
    </row>
    <row r="844" spans="1:5" ht="16.5" x14ac:dyDescent="0.3">
      <c r="A844" s="12"/>
      <c r="B844" s="6"/>
      <c r="C844" s="8"/>
      <c r="D844" s="8"/>
      <c r="E844" s="8"/>
    </row>
    <row r="845" spans="1:5" ht="16.5" x14ac:dyDescent="0.3">
      <c r="A845" s="11"/>
      <c r="B845" s="6"/>
      <c r="C845" s="8"/>
      <c r="D845" s="8"/>
      <c r="E845" s="8"/>
    </row>
    <row r="846" spans="1:5" ht="16.5" x14ac:dyDescent="0.3">
      <c r="A846" s="12"/>
      <c r="B846" s="6"/>
      <c r="C846" s="8"/>
      <c r="D846" s="8"/>
      <c r="E846" s="8"/>
    </row>
    <row r="847" spans="1:5" ht="16.5" x14ac:dyDescent="0.3">
      <c r="A847" s="11"/>
      <c r="B847" s="6"/>
      <c r="C847" s="8"/>
      <c r="D847" s="8"/>
      <c r="E847" s="8"/>
    </row>
    <row r="848" spans="1:5" ht="16.5" x14ac:dyDescent="0.3">
      <c r="A848" s="12"/>
      <c r="B848" s="6"/>
      <c r="C848" s="8"/>
      <c r="D848" s="8"/>
      <c r="E848" s="8"/>
    </row>
    <row r="849" spans="1:5" ht="16.5" x14ac:dyDescent="0.3">
      <c r="A849" s="11"/>
      <c r="B849" s="6"/>
      <c r="C849" s="8"/>
      <c r="D849" s="8"/>
      <c r="E849" s="8"/>
    </row>
    <row r="850" spans="1:5" ht="16.5" x14ac:dyDescent="0.3">
      <c r="A850" s="12"/>
      <c r="B850" s="6"/>
      <c r="C850" s="8"/>
      <c r="D850" s="8"/>
      <c r="E850" s="8"/>
    </row>
    <row r="851" spans="1:5" ht="16.5" x14ac:dyDescent="0.3">
      <c r="A851" s="11"/>
      <c r="B851" s="6"/>
      <c r="C851" s="8"/>
      <c r="D851" s="8"/>
      <c r="E851" s="8"/>
    </row>
    <row r="852" spans="1:5" ht="16.5" x14ac:dyDescent="0.3">
      <c r="A852" s="12"/>
      <c r="B852" s="6"/>
      <c r="C852" s="8"/>
      <c r="D852" s="8"/>
      <c r="E852" s="8"/>
    </row>
    <row r="853" spans="1:5" ht="16.5" x14ac:dyDescent="0.3">
      <c r="A853" s="11"/>
      <c r="B853" s="6"/>
      <c r="C853" s="8"/>
      <c r="D853" s="8"/>
      <c r="E853" s="8"/>
    </row>
    <row r="854" spans="1:5" ht="16.5" x14ac:dyDescent="0.3">
      <c r="A854" s="12"/>
      <c r="B854" s="6"/>
      <c r="C854" s="8"/>
      <c r="D854" s="8"/>
      <c r="E854" s="8"/>
    </row>
    <row r="855" spans="1:5" ht="16.5" x14ac:dyDescent="0.3">
      <c r="A855" s="11"/>
      <c r="B855" s="6"/>
      <c r="C855" s="8"/>
      <c r="D855" s="8"/>
      <c r="E855" s="8"/>
    </row>
    <row r="856" spans="1:5" ht="16.5" x14ac:dyDescent="0.3">
      <c r="A856" s="12"/>
      <c r="B856" s="6"/>
      <c r="C856" s="8"/>
      <c r="D856" s="8"/>
      <c r="E856" s="8"/>
    </row>
    <row r="857" spans="1:5" ht="16.5" x14ac:dyDescent="0.3">
      <c r="A857" s="11"/>
      <c r="B857" s="6"/>
      <c r="C857" s="8"/>
      <c r="D857" s="8"/>
      <c r="E857" s="8"/>
    </row>
    <row r="858" spans="1:5" ht="16.5" x14ac:dyDescent="0.3">
      <c r="A858" s="12"/>
      <c r="B858" s="6"/>
      <c r="C858" s="8"/>
      <c r="D858" s="8"/>
      <c r="E858" s="8"/>
    </row>
    <row r="859" spans="1:5" ht="16.5" x14ac:dyDescent="0.3">
      <c r="A859" s="11"/>
      <c r="B859" s="6"/>
      <c r="C859" s="8"/>
      <c r="D859" s="8"/>
      <c r="E859" s="8"/>
    </row>
    <row r="860" spans="1:5" ht="16.5" x14ac:dyDescent="0.3">
      <c r="A860" s="12"/>
      <c r="B860" s="6"/>
      <c r="C860" s="8"/>
      <c r="D860" s="8"/>
      <c r="E860" s="8"/>
    </row>
    <row r="861" spans="1:5" ht="16.5" x14ac:dyDescent="0.3">
      <c r="A861" s="11"/>
      <c r="B861" s="6"/>
      <c r="C861" s="8"/>
      <c r="D861" s="8"/>
      <c r="E861" s="8"/>
    </row>
    <row r="862" spans="1:5" ht="16.5" x14ac:dyDescent="0.3">
      <c r="A862" s="12"/>
      <c r="B862" s="6"/>
      <c r="C862" s="8"/>
      <c r="D862" s="8"/>
      <c r="E862" s="8"/>
    </row>
    <row r="863" spans="1:5" ht="16.5" x14ac:dyDescent="0.3">
      <c r="A863" s="11"/>
      <c r="B863" s="6"/>
      <c r="C863" s="8"/>
      <c r="D863" s="8"/>
      <c r="E863" s="8"/>
    </row>
    <row r="864" spans="1:5" ht="16.5" x14ac:dyDescent="0.3">
      <c r="A864" s="12"/>
      <c r="B864" s="6"/>
      <c r="C864" s="8"/>
      <c r="D864" s="8"/>
      <c r="E864" s="8"/>
    </row>
    <row r="865" spans="1:5" ht="16.5" x14ac:dyDescent="0.3">
      <c r="A865" s="11"/>
      <c r="B865" s="6"/>
      <c r="C865" s="8"/>
      <c r="D865" s="8"/>
      <c r="E865" s="8"/>
    </row>
    <row r="866" spans="1:5" ht="16.5" x14ac:dyDescent="0.3">
      <c r="A866" s="12"/>
      <c r="B866" s="6"/>
      <c r="C866" s="8"/>
      <c r="D866" s="8"/>
      <c r="E866" s="8"/>
    </row>
    <row r="867" spans="1:5" ht="16.5" x14ac:dyDescent="0.3">
      <c r="A867" s="11"/>
      <c r="B867" s="6"/>
      <c r="C867" s="8"/>
      <c r="D867" s="8"/>
      <c r="E867" s="8"/>
    </row>
    <row r="868" spans="1:5" ht="16.5" x14ac:dyDescent="0.3">
      <c r="A868" s="12"/>
      <c r="B868" s="6"/>
      <c r="C868" s="8"/>
      <c r="D868" s="8"/>
      <c r="E868" s="8"/>
    </row>
    <row r="869" spans="1:5" ht="16.5" x14ac:dyDescent="0.3">
      <c r="A869" s="11"/>
      <c r="B869" s="6"/>
      <c r="C869" s="8"/>
      <c r="D869" s="8"/>
      <c r="E869" s="8"/>
    </row>
    <row r="870" spans="1:5" ht="16.5" x14ac:dyDescent="0.3">
      <c r="A870" s="12"/>
      <c r="B870" s="6"/>
      <c r="C870" s="8"/>
      <c r="D870" s="8"/>
      <c r="E870" s="8"/>
    </row>
    <row r="871" spans="1:5" ht="16.5" x14ac:dyDescent="0.3">
      <c r="A871" s="11"/>
      <c r="B871" s="6"/>
      <c r="C871" s="8"/>
      <c r="D871" s="8"/>
      <c r="E871" s="8"/>
    </row>
    <row r="872" spans="1:5" ht="16.5" x14ac:dyDescent="0.3">
      <c r="A872" s="12"/>
      <c r="B872" s="6"/>
      <c r="C872" s="8"/>
      <c r="D872" s="8"/>
      <c r="E872" s="8"/>
    </row>
    <row r="873" spans="1:5" ht="16.5" x14ac:dyDescent="0.3">
      <c r="A873" s="11"/>
      <c r="B873" s="6"/>
      <c r="C873" s="8"/>
      <c r="D873" s="8"/>
      <c r="E873" s="8"/>
    </row>
    <row r="874" spans="1:5" ht="16.5" x14ac:dyDescent="0.3">
      <c r="A874" s="12"/>
      <c r="B874" s="6"/>
      <c r="C874" s="8"/>
      <c r="D874" s="8"/>
      <c r="E874" s="8"/>
    </row>
    <row r="875" spans="1:5" ht="16.5" x14ac:dyDescent="0.3">
      <c r="A875" s="11"/>
      <c r="B875" s="6"/>
      <c r="C875" s="8"/>
      <c r="D875" s="8"/>
      <c r="E875" s="8"/>
    </row>
    <row r="876" spans="1:5" ht="16.5" x14ac:dyDescent="0.3">
      <c r="A876" s="12"/>
      <c r="B876" s="6"/>
      <c r="C876" s="8"/>
      <c r="D876" s="8"/>
      <c r="E876" s="8"/>
    </row>
    <row r="877" spans="1:5" ht="16.5" x14ac:dyDescent="0.3">
      <c r="A877" s="11"/>
      <c r="B877" s="6"/>
      <c r="C877" s="8"/>
      <c r="D877" s="8"/>
      <c r="E877" s="8"/>
    </row>
    <row r="878" spans="1:5" ht="16.5" x14ac:dyDescent="0.3">
      <c r="A878" s="12"/>
      <c r="B878" s="6"/>
      <c r="C878" s="8"/>
      <c r="D878" s="8"/>
      <c r="E878" s="8"/>
    </row>
    <row r="879" spans="1:5" ht="16.5" x14ac:dyDescent="0.3">
      <c r="A879" s="11"/>
      <c r="B879" s="6"/>
      <c r="C879" s="8"/>
      <c r="D879" s="8"/>
      <c r="E879" s="8"/>
    </row>
    <row r="880" spans="1:5" ht="16.5" x14ac:dyDescent="0.3">
      <c r="A880" s="12"/>
      <c r="B880" s="6"/>
      <c r="C880" s="8"/>
      <c r="D880" s="8"/>
      <c r="E880" s="8"/>
    </row>
    <row r="881" spans="1:5" ht="16.5" x14ac:dyDescent="0.3">
      <c r="A881" s="11"/>
      <c r="B881" s="6"/>
      <c r="C881" s="8"/>
      <c r="D881" s="8"/>
      <c r="E881" s="8"/>
    </row>
    <row r="882" spans="1:5" ht="16.5" x14ac:dyDescent="0.3">
      <c r="A882" s="12"/>
      <c r="B882" s="6"/>
      <c r="C882" s="8"/>
      <c r="D882" s="8"/>
      <c r="E882" s="8"/>
    </row>
    <row r="883" spans="1:5" ht="16.5" x14ac:dyDescent="0.3">
      <c r="A883" s="11"/>
      <c r="B883" s="6"/>
      <c r="C883" s="8"/>
      <c r="D883" s="8"/>
      <c r="E883" s="8"/>
    </row>
    <row r="884" spans="1:5" ht="16.5" x14ac:dyDescent="0.3">
      <c r="A884" s="12"/>
      <c r="B884" s="6"/>
      <c r="C884" s="8"/>
      <c r="D884" s="8"/>
      <c r="E884" s="8"/>
    </row>
    <row r="885" spans="1:5" ht="16.5" x14ac:dyDescent="0.3">
      <c r="A885" s="11"/>
      <c r="B885" s="6"/>
      <c r="C885" s="8"/>
      <c r="D885" s="8"/>
      <c r="E885" s="8"/>
    </row>
    <row r="886" spans="1:5" ht="16.5" x14ac:dyDescent="0.3">
      <c r="A886" s="12"/>
      <c r="B886" s="6"/>
      <c r="C886" s="8"/>
      <c r="D886" s="8"/>
      <c r="E886" s="8"/>
    </row>
    <row r="887" spans="1:5" ht="16.5" x14ac:dyDescent="0.3">
      <c r="A887" s="11"/>
      <c r="B887" s="6"/>
      <c r="C887" s="8"/>
      <c r="D887" s="8"/>
      <c r="E887" s="8"/>
    </row>
    <row r="888" spans="1:5" ht="16.5" x14ac:dyDescent="0.3">
      <c r="A888" s="12"/>
      <c r="B888" s="6"/>
      <c r="C888" s="8"/>
      <c r="D888" s="8"/>
      <c r="E888" s="8"/>
    </row>
    <row r="889" spans="1:5" ht="16.5" x14ac:dyDescent="0.3">
      <c r="A889" s="11"/>
      <c r="B889" s="6"/>
      <c r="C889" s="8"/>
      <c r="D889" s="8"/>
      <c r="E889" s="8"/>
    </row>
    <row r="890" spans="1:5" ht="16.5" x14ac:dyDescent="0.3">
      <c r="A890" s="12"/>
      <c r="B890" s="6"/>
      <c r="C890" s="8"/>
      <c r="D890" s="8"/>
      <c r="E890" s="8"/>
    </row>
    <row r="891" spans="1:5" ht="16.5" x14ac:dyDescent="0.3">
      <c r="A891" s="11"/>
      <c r="B891" s="6"/>
      <c r="C891" s="8"/>
      <c r="D891" s="8"/>
      <c r="E891" s="8"/>
    </row>
    <row r="892" spans="1:5" ht="16.5" x14ac:dyDescent="0.3">
      <c r="A892" s="12"/>
      <c r="B892" s="6"/>
      <c r="C892" s="8"/>
      <c r="D892" s="8"/>
      <c r="E892" s="8"/>
    </row>
    <row r="893" spans="1:5" ht="16.5" x14ac:dyDescent="0.3">
      <c r="A893" s="11"/>
      <c r="B893" s="6"/>
      <c r="C893" s="8"/>
      <c r="D893" s="8"/>
      <c r="E893" s="8"/>
    </row>
    <row r="894" spans="1:5" ht="16.5" x14ac:dyDescent="0.3">
      <c r="A894" s="12"/>
      <c r="B894" s="6"/>
      <c r="C894" s="8"/>
      <c r="D894" s="8"/>
      <c r="E894" s="8"/>
    </row>
    <row r="895" spans="1:5" ht="16.5" x14ac:dyDescent="0.3">
      <c r="A895" s="11"/>
      <c r="B895" s="6"/>
      <c r="C895" s="8"/>
      <c r="D895" s="8"/>
      <c r="E895" s="8"/>
    </row>
    <row r="896" spans="1:5" ht="16.5" x14ac:dyDescent="0.3">
      <c r="A896" s="12"/>
      <c r="B896" s="6"/>
      <c r="C896" s="8"/>
      <c r="D896" s="8"/>
      <c r="E896" s="8"/>
    </row>
    <row r="897" spans="1:5" ht="16.5" x14ac:dyDescent="0.3">
      <c r="A897" s="11"/>
      <c r="B897" s="6"/>
      <c r="C897" s="8"/>
      <c r="D897" s="8"/>
      <c r="E897" s="8"/>
    </row>
    <row r="898" spans="1:5" ht="16.5" x14ac:dyDescent="0.3">
      <c r="A898" s="12"/>
      <c r="B898" s="6"/>
      <c r="C898" s="8"/>
      <c r="D898" s="8"/>
      <c r="E898" s="8"/>
    </row>
    <row r="899" spans="1:5" ht="16.5" x14ac:dyDescent="0.3">
      <c r="A899" s="11"/>
      <c r="B899" s="6"/>
      <c r="C899" s="8"/>
      <c r="D899" s="8"/>
      <c r="E899" s="8"/>
    </row>
    <row r="900" spans="1:5" ht="16.5" x14ac:dyDescent="0.3">
      <c r="A900" s="12"/>
      <c r="B900" s="6"/>
      <c r="C900" s="8"/>
      <c r="D900" s="8"/>
      <c r="E900" s="8"/>
    </row>
    <row r="901" spans="1:5" ht="16.5" x14ac:dyDescent="0.3">
      <c r="A901" s="11"/>
      <c r="B901" s="6"/>
      <c r="C901" s="8"/>
      <c r="D901" s="8"/>
      <c r="E901" s="8"/>
    </row>
    <row r="902" spans="1:5" ht="16.5" x14ac:dyDescent="0.3">
      <c r="A902" s="12"/>
      <c r="B902" s="6"/>
      <c r="C902" s="8"/>
      <c r="D902" s="8"/>
      <c r="E902" s="8"/>
    </row>
    <row r="903" spans="1:5" ht="16.5" x14ac:dyDescent="0.3">
      <c r="A903" s="11"/>
      <c r="B903" s="6"/>
      <c r="C903" s="8"/>
      <c r="D903" s="8"/>
      <c r="E903" s="8"/>
    </row>
    <row r="904" spans="1:5" ht="16.5" x14ac:dyDescent="0.3">
      <c r="A904" s="12"/>
      <c r="B904" s="6"/>
      <c r="C904" s="8"/>
      <c r="D904" s="8"/>
      <c r="E904" s="8"/>
    </row>
    <row r="905" spans="1:5" ht="16.5" x14ac:dyDescent="0.3">
      <c r="A905" s="11"/>
      <c r="B905" s="6"/>
      <c r="C905" s="8"/>
      <c r="D905" s="8"/>
      <c r="E905" s="8"/>
    </row>
    <row r="906" spans="1:5" ht="16.5" x14ac:dyDescent="0.3">
      <c r="A906" s="12"/>
      <c r="B906" s="6"/>
      <c r="C906" s="8"/>
      <c r="D906" s="8"/>
      <c r="E906" s="8"/>
    </row>
    <row r="907" spans="1:5" ht="16.5" x14ac:dyDescent="0.3">
      <c r="A907" s="11"/>
      <c r="B907" s="6"/>
      <c r="C907" s="8"/>
      <c r="D907" s="8"/>
      <c r="E907" s="8"/>
    </row>
    <row r="908" spans="1:5" ht="16.5" x14ac:dyDescent="0.3">
      <c r="A908" s="12"/>
      <c r="B908" s="6"/>
      <c r="C908" s="8"/>
      <c r="D908" s="8"/>
      <c r="E908" s="8"/>
    </row>
    <row r="909" spans="1:5" ht="16.5" x14ac:dyDescent="0.3">
      <c r="A909" s="11"/>
      <c r="B909" s="6"/>
      <c r="C909" s="8"/>
      <c r="D909" s="8"/>
      <c r="E909" s="8"/>
    </row>
    <row r="910" spans="1:5" ht="16.5" x14ac:dyDescent="0.3">
      <c r="A910" s="12"/>
      <c r="B910" s="6"/>
      <c r="C910" s="8"/>
      <c r="D910" s="8"/>
      <c r="E910" s="8"/>
    </row>
    <row r="911" spans="1:5" ht="16.5" x14ac:dyDescent="0.3">
      <c r="A911" s="11"/>
      <c r="B911" s="6"/>
      <c r="C911" s="8"/>
      <c r="D911" s="8"/>
      <c r="E911" s="8"/>
    </row>
    <row r="912" spans="1:5" ht="16.5" x14ac:dyDescent="0.3">
      <c r="A912" s="12"/>
      <c r="B912" s="6"/>
      <c r="C912" s="8"/>
      <c r="D912" s="8"/>
      <c r="E912" s="8"/>
    </row>
    <row r="913" spans="1:5" ht="16.5" x14ac:dyDescent="0.3">
      <c r="A913" s="11"/>
      <c r="B913" s="6"/>
      <c r="C913" s="8"/>
      <c r="D913" s="8"/>
      <c r="E913" s="8"/>
    </row>
    <row r="914" spans="1:5" ht="16.5" x14ac:dyDescent="0.3">
      <c r="A914" s="12"/>
      <c r="B914" s="6"/>
      <c r="C914" s="8"/>
      <c r="D914" s="8"/>
      <c r="E914" s="8"/>
    </row>
    <row r="915" spans="1:5" ht="16.5" x14ac:dyDescent="0.3">
      <c r="A915" s="11"/>
      <c r="B915" s="6"/>
      <c r="C915" s="8"/>
      <c r="D915" s="8"/>
      <c r="E915" s="8"/>
    </row>
    <row r="916" spans="1:5" ht="16.5" x14ac:dyDescent="0.3">
      <c r="A916" s="12"/>
      <c r="B916" s="6"/>
      <c r="C916" s="8"/>
      <c r="D916" s="8"/>
      <c r="E916" s="8"/>
    </row>
    <row r="917" spans="1:5" ht="16.5" x14ac:dyDescent="0.3">
      <c r="A917" s="11"/>
      <c r="B917" s="6"/>
      <c r="C917" s="8"/>
      <c r="D917" s="8"/>
      <c r="E917" s="8"/>
    </row>
    <row r="918" spans="1:5" ht="16.5" x14ac:dyDescent="0.3">
      <c r="A918" s="12"/>
      <c r="B918" s="6"/>
      <c r="C918" s="8"/>
      <c r="D918" s="8"/>
      <c r="E918" s="8"/>
    </row>
    <row r="919" spans="1:5" ht="16.5" x14ac:dyDescent="0.3">
      <c r="A919" s="11"/>
      <c r="B919" s="6"/>
      <c r="C919" s="8"/>
      <c r="D919" s="8"/>
      <c r="E919" s="8"/>
    </row>
    <row r="920" spans="1:5" ht="16.5" x14ac:dyDescent="0.3">
      <c r="A920" s="12"/>
      <c r="B920" s="6"/>
      <c r="C920" s="8"/>
      <c r="D920" s="8"/>
      <c r="E920" s="8"/>
    </row>
    <row r="921" spans="1:5" ht="16.5" x14ac:dyDescent="0.3">
      <c r="A921" s="11"/>
      <c r="B921" s="6"/>
      <c r="C921" s="8"/>
      <c r="D921" s="8"/>
      <c r="E921" s="8"/>
    </row>
    <row r="922" spans="1:5" ht="16.5" x14ac:dyDescent="0.3">
      <c r="A922" s="12"/>
      <c r="B922" s="6"/>
      <c r="C922" s="8"/>
      <c r="D922" s="8"/>
      <c r="E922" s="8"/>
    </row>
    <row r="923" spans="1:5" ht="16.5" x14ac:dyDescent="0.3">
      <c r="A923" s="11"/>
      <c r="B923" s="6"/>
      <c r="C923" s="8"/>
      <c r="D923" s="8"/>
      <c r="E923" s="8"/>
    </row>
    <row r="924" spans="1:5" ht="16.5" x14ac:dyDescent="0.3">
      <c r="A924" s="12"/>
      <c r="B924" s="6"/>
      <c r="C924" s="8"/>
      <c r="D924" s="8"/>
      <c r="E924" s="8"/>
    </row>
    <row r="925" spans="1:5" ht="16.5" x14ac:dyDescent="0.3">
      <c r="A925" s="11"/>
      <c r="B925" s="6"/>
      <c r="C925" s="8"/>
      <c r="D925" s="8"/>
      <c r="E925" s="8"/>
    </row>
    <row r="926" spans="1:5" ht="16.5" x14ac:dyDescent="0.3">
      <c r="A926" s="12"/>
      <c r="B926" s="6"/>
      <c r="C926" s="8"/>
      <c r="D926" s="8"/>
      <c r="E926" s="8"/>
    </row>
    <row r="927" spans="1:5" ht="16.5" x14ac:dyDescent="0.3">
      <c r="A927" s="11"/>
      <c r="B927" s="6"/>
      <c r="C927" s="8"/>
      <c r="D927" s="8"/>
      <c r="E927" s="8"/>
    </row>
    <row r="928" spans="1:5" ht="16.5" x14ac:dyDescent="0.3">
      <c r="A928" s="12"/>
      <c r="B928" s="6"/>
      <c r="C928" s="8"/>
      <c r="D928" s="8"/>
      <c r="E928" s="8"/>
    </row>
    <row r="929" spans="1:5" ht="16.5" x14ac:dyDescent="0.3">
      <c r="A929" s="11"/>
      <c r="B929" s="6"/>
      <c r="C929" s="8"/>
      <c r="D929" s="8"/>
      <c r="E929" s="8"/>
    </row>
    <row r="930" spans="1:5" ht="16.5" x14ac:dyDescent="0.3">
      <c r="A930" s="12"/>
      <c r="B930" s="6"/>
      <c r="C930" s="8"/>
      <c r="D930" s="8"/>
      <c r="E930" s="8"/>
    </row>
    <row r="931" spans="1:5" ht="16.5" x14ac:dyDescent="0.3">
      <c r="A931" s="11"/>
      <c r="B931" s="6"/>
      <c r="C931" s="8"/>
      <c r="D931" s="8"/>
      <c r="E931" s="8"/>
    </row>
    <row r="932" spans="1:5" ht="16.5" x14ac:dyDescent="0.3">
      <c r="A932" s="12"/>
      <c r="B932" s="6"/>
      <c r="C932" s="8"/>
      <c r="D932" s="8"/>
      <c r="E932" s="8"/>
    </row>
    <row r="933" spans="1:5" ht="16.5" x14ac:dyDescent="0.3">
      <c r="A933" s="11"/>
      <c r="B933" s="6"/>
      <c r="C933" s="8"/>
      <c r="D933" s="8"/>
      <c r="E933" s="8"/>
    </row>
    <row r="934" spans="1:5" ht="16.5" x14ac:dyDescent="0.3">
      <c r="A934" s="12"/>
      <c r="B934" s="6"/>
      <c r="C934" s="8"/>
      <c r="D934" s="8"/>
      <c r="E934" s="8"/>
    </row>
    <row r="935" spans="1:5" ht="16.5" x14ac:dyDescent="0.3">
      <c r="A935" s="11"/>
      <c r="B935" s="6"/>
      <c r="C935" s="8"/>
      <c r="D935" s="8"/>
      <c r="E935" s="8"/>
    </row>
    <row r="936" spans="1:5" ht="16.5" x14ac:dyDescent="0.3">
      <c r="A936" s="12"/>
      <c r="B936" s="6"/>
      <c r="C936" s="8"/>
      <c r="D936" s="8"/>
      <c r="E936" s="8"/>
    </row>
    <row r="937" spans="1:5" ht="16.5" x14ac:dyDescent="0.3">
      <c r="A937" s="11"/>
      <c r="B937" s="6"/>
      <c r="C937" s="8"/>
      <c r="D937" s="8"/>
      <c r="E937" s="8"/>
    </row>
    <row r="938" spans="1:5" ht="16.5" x14ac:dyDescent="0.3">
      <c r="A938" s="12"/>
      <c r="B938" s="6"/>
      <c r="C938" s="8"/>
      <c r="D938" s="8"/>
      <c r="E938" s="8"/>
    </row>
    <row r="939" spans="1:5" ht="16.5" x14ac:dyDescent="0.3">
      <c r="A939" s="11"/>
      <c r="B939" s="6"/>
      <c r="C939" s="8"/>
      <c r="D939" s="8"/>
      <c r="E939" s="8"/>
    </row>
    <row r="940" spans="1:5" ht="16.5" x14ac:dyDescent="0.3">
      <c r="A940" s="12"/>
      <c r="B940" s="6"/>
      <c r="C940" s="8"/>
      <c r="D940" s="8"/>
      <c r="E940" s="8"/>
    </row>
    <row r="941" spans="1:5" ht="16.5" x14ac:dyDescent="0.3">
      <c r="A941" s="11"/>
      <c r="B941" s="6"/>
      <c r="C941" s="8"/>
      <c r="D941" s="8"/>
      <c r="E941" s="8"/>
    </row>
    <row r="942" spans="1:5" ht="16.5" x14ac:dyDescent="0.3">
      <c r="A942" s="12"/>
      <c r="B942" s="6"/>
      <c r="C942" s="8"/>
      <c r="D942" s="8"/>
      <c r="E942" s="8"/>
    </row>
    <row r="943" spans="1:5" ht="16.5" x14ac:dyDescent="0.3">
      <c r="A943" s="11"/>
      <c r="B943" s="6"/>
      <c r="C943" s="8"/>
      <c r="D943" s="8"/>
      <c r="E943" s="8"/>
    </row>
    <row r="944" spans="1:5" ht="16.5" x14ac:dyDescent="0.3">
      <c r="A944" s="12"/>
      <c r="B944" s="6"/>
      <c r="C944" s="8"/>
      <c r="D944" s="8"/>
      <c r="E944" s="8"/>
    </row>
    <row r="945" spans="1:5" ht="16.5" x14ac:dyDescent="0.3">
      <c r="A945" s="11"/>
      <c r="B945" s="6"/>
      <c r="C945" s="8"/>
      <c r="D945" s="8"/>
      <c r="E945" s="8"/>
    </row>
    <row r="946" spans="1:5" ht="16.5" x14ac:dyDescent="0.3">
      <c r="A946" s="12"/>
      <c r="B946" s="6"/>
      <c r="C946" s="8"/>
      <c r="D946" s="8"/>
      <c r="E946" s="8"/>
    </row>
    <row r="947" spans="1:5" ht="16.5" x14ac:dyDescent="0.3">
      <c r="A947" s="11"/>
      <c r="B947" s="6"/>
      <c r="C947" s="8"/>
      <c r="D947" s="8"/>
      <c r="E947" s="8"/>
    </row>
    <row r="948" spans="1:5" ht="16.5" x14ac:dyDescent="0.3">
      <c r="A948" s="12"/>
      <c r="B948" s="6"/>
      <c r="C948" s="8"/>
      <c r="D948" s="8"/>
      <c r="E948" s="8"/>
    </row>
    <row r="949" spans="1:5" ht="16.5" x14ac:dyDescent="0.3">
      <c r="A949" s="11"/>
      <c r="B949" s="6"/>
      <c r="C949" s="8"/>
      <c r="D949" s="8"/>
      <c r="E949" s="8"/>
    </row>
    <row r="950" spans="1:5" ht="16.5" x14ac:dyDescent="0.3">
      <c r="A950" s="12"/>
      <c r="B950" s="6"/>
      <c r="C950" s="8"/>
      <c r="D950" s="8"/>
      <c r="E950" s="8"/>
    </row>
    <row r="951" spans="1:5" ht="16.5" x14ac:dyDescent="0.3">
      <c r="A951" s="11"/>
      <c r="B951" s="6"/>
      <c r="C951" s="8"/>
      <c r="D951" s="8"/>
      <c r="E951" s="8"/>
    </row>
    <row r="952" spans="1:5" ht="16.5" x14ac:dyDescent="0.3">
      <c r="A952" s="12"/>
      <c r="B952" s="6"/>
      <c r="C952" s="8"/>
      <c r="D952" s="8"/>
      <c r="E952" s="8"/>
    </row>
    <row r="953" spans="1:5" ht="16.5" x14ac:dyDescent="0.3">
      <c r="A953" s="11"/>
      <c r="B953" s="6"/>
      <c r="C953" s="8"/>
      <c r="D953" s="8"/>
      <c r="E953" s="8"/>
    </row>
    <row r="954" spans="1:5" ht="16.5" x14ac:dyDescent="0.3">
      <c r="A954" s="12"/>
      <c r="B954" s="6"/>
      <c r="C954" s="8"/>
      <c r="D954" s="8"/>
      <c r="E954" s="8"/>
    </row>
    <row r="955" spans="1:5" ht="16.5" x14ac:dyDescent="0.3">
      <c r="A955" s="11"/>
      <c r="B955" s="6"/>
      <c r="C955" s="8"/>
      <c r="D955" s="8"/>
      <c r="E955" s="8"/>
    </row>
    <row r="956" spans="1:5" ht="16.5" x14ac:dyDescent="0.3">
      <c r="A956" s="12"/>
      <c r="B956" s="6"/>
      <c r="C956" s="8"/>
      <c r="D956" s="8"/>
      <c r="E956" s="8"/>
    </row>
    <row r="957" spans="1:5" ht="16.5" x14ac:dyDescent="0.3">
      <c r="A957" s="11"/>
      <c r="B957" s="6"/>
      <c r="C957" s="8"/>
      <c r="D957" s="8"/>
      <c r="E957" s="8"/>
    </row>
    <row r="958" spans="1:5" ht="16.5" x14ac:dyDescent="0.3">
      <c r="A958" s="12"/>
      <c r="B958" s="6"/>
      <c r="C958" s="8"/>
      <c r="D958" s="8"/>
      <c r="E958" s="8"/>
    </row>
    <row r="959" spans="1:5" ht="16.5" x14ac:dyDescent="0.3">
      <c r="A959" s="11"/>
      <c r="B959" s="6"/>
      <c r="C959" s="8"/>
      <c r="D959" s="8"/>
      <c r="E959" s="8"/>
    </row>
    <row r="960" spans="1:5" ht="16.5" x14ac:dyDescent="0.3">
      <c r="A960" s="12"/>
      <c r="B960" s="6"/>
      <c r="C960" s="8"/>
      <c r="D960" s="8"/>
      <c r="E960" s="8"/>
    </row>
    <row r="961" spans="1:5" ht="16.5" x14ac:dyDescent="0.3">
      <c r="A961" s="11"/>
      <c r="B961" s="6"/>
      <c r="C961" s="8"/>
      <c r="D961" s="8"/>
      <c r="E961" s="8"/>
    </row>
    <row r="962" spans="1:5" ht="16.5" x14ac:dyDescent="0.3">
      <c r="A962" s="12"/>
      <c r="B962" s="6"/>
      <c r="C962" s="8"/>
      <c r="D962" s="8"/>
      <c r="E962" s="8"/>
    </row>
    <row r="963" spans="1:5" ht="16.5" x14ac:dyDescent="0.3">
      <c r="A963" s="11"/>
      <c r="B963" s="6"/>
      <c r="C963" s="8"/>
      <c r="D963" s="8"/>
      <c r="E963" s="8"/>
    </row>
    <row r="964" spans="1:5" ht="16.5" x14ac:dyDescent="0.3">
      <c r="A964" s="12"/>
      <c r="B964" s="6"/>
      <c r="C964" s="8"/>
      <c r="D964" s="8"/>
      <c r="E964" s="8"/>
    </row>
    <row r="965" spans="1:5" ht="16.5" x14ac:dyDescent="0.3">
      <c r="A965" s="11"/>
      <c r="B965" s="6"/>
      <c r="C965" s="8"/>
      <c r="D965" s="8"/>
      <c r="E965" s="8"/>
    </row>
    <row r="966" spans="1:5" ht="16.5" x14ac:dyDescent="0.3">
      <c r="A966" s="12"/>
      <c r="B966" s="6"/>
      <c r="C966" s="8"/>
      <c r="D966" s="8"/>
      <c r="E966" s="8"/>
    </row>
    <row r="967" spans="1:5" ht="16.5" x14ac:dyDescent="0.3">
      <c r="A967" s="11"/>
      <c r="B967" s="6"/>
      <c r="C967" s="8"/>
      <c r="D967" s="8"/>
      <c r="E967" s="8"/>
    </row>
    <row r="968" spans="1:5" ht="16.5" x14ac:dyDescent="0.3">
      <c r="A968" s="12"/>
      <c r="B968" s="6"/>
      <c r="C968" s="8"/>
      <c r="D968" s="8"/>
      <c r="E968" s="8"/>
    </row>
    <row r="969" spans="1:5" ht="16.5" x14ac:dyDescent="0.3">
      <c r="A969" s="11"/>
      <c r="B969" s="6"/>
      <c r="C969" s="8"/>
      <c r="D969" s="8"/>
      <c r="E969" s="8"/>
    </row>
    <row r="970" spans="1:5" ht="16.5" x14ac:dyDescent="0.3">
      <c r="A970" s="12"/>
      <c r="B970" s="6"/>
      <c r="C970" s="8"/>
      <c r="D970" s="8"/>
      <c r="E970" s="8"/>
    </row>
    <row r="971" spans="1:5" ht="16.5" x14ac:dyDescent="0.3">
      <c r="A971" s="11"/>
      <c r="B971" s="6"/>
      <c r="C971" s="8"/>
      <c r="D971" s="8"/>
      <c r="E971" s="8"/>
    </row>
    <row r="972" spans="1:5" ht="16.5" x14ac:dyDescent="0.3">
      <c r="A972" s="12"/>
      <c r="B972" s="6"/>
      <c r="C972" s="8"/>
      <c r="D972" s="8"/>
      <c r="E972" s="8"/>
    </row>
    <row r="973" spans="1:5" ht="16.5" x14ac:dyDescent="0.3">
      <c r="A973" s="11"/>
      <c r="B973" s="6"/>
      <c r="C973" s="8"/>
      <c r="D973" s="8"/>
      <c r="E973" s="8"/>
    </row>
    <row r="974" spans="1:5" ht="16.5" x14ac:dyDescent="0.3">
      <c r="A974" s="12"/>
      <c r="B974" s="6"/>
      <c r="C974" s="8"/>
      <c r="D974" s="8"/>
      <c r="E974" s="8"/>
    </row>
    <row r="975" spans="1:5" ht="16.5" x14ac:dyDescent="0.3">
      <c r="A975" s="11"/>
      <c r="B975" s="6"/>
      <c r="C975" s="8"/>
      <c r="D975" s="8"/>
      <c r="E975" s="8"/>
    </row>
    <row r="976" spans="1:5" ht="16.5" x14ac:dyDescent="0.3">
      <c r="A976" s="12"/>
      <c r="B976" s="6"/>
      <c r="C976" s="8"/>
      <c r="D976" s="8"/>
      <c r="E976" s="8"/>
    </row>
    <row r="977" spans="1:5" ht="16.5" x14ac:dyDescent="0.3">
      <c r="A977" s="11"/>
      <c r="B977" s="6"/>
      <c r="C977" s="8"/>
      <c r="D977" s="8"/>
      <c r="E977" s="8"/>
    </row>
    <row r="978" spans="1:5" ht="16.5" x14ac:dyDescent="0.3">
      <c r="A978" s="12"/>
      <c r="B978" s="6"/>
      <c r="C978" s="8"/>
      <c r="D978" s="8"/>
      <c r="E978" s="8"/>
    </row>
    <row r="979" spans="1:5" ht="16.5" x14ac:dyDescent="0.3">
      <c r="A979" s="11"/>
      <c r="B979" s="6"/>
      <c r="C979" s="8"/>
      <c r="D979" s="8"/>
      <c r="E979" s="8"/>
    </row>
    <row r="980" spans="1:5" ht="16.5" x14ac:dyDescent="0.3">
      <c r="A980" s="12"/>
      <c r="B980" s="6"/>
      <c r="C980" s="8"/>
      <c r="D980" s="8"/>
      <c r="E980" s="8"/>
    </row>
    <row r="981" spans="1:5" ht="16.5" x14ac:dyDescent="0.3">
      <c r="A981" s="11"/>
      <c r="B981" s="6"/>
      <c r="C981" s="8"/>
      <c r="D981" s="8"/>
      <c r="E981" s="8"/>
    </row>
    <row r="982" spans="1:5" ht="16.5" x14ac:dyDescent="0.3">
      <c r="A982" s="12"/>
      <c r="B982" s="6"/>
      <c r="C982" s="8"/>
      <c r="D982" s="8"/>
      <c r="E982" s="8"/>
    </row>
    <row r="983" spans="1:5" ht="16.5" x14ac:dyDescent="0.3">
      <c r="A983" s="11"/>
      <c r="B983" s="6"/>
      <c r="C983" s="8"/>
      <c r="D983" s="8"/>
      <c r="E983" s="8"/>
    </row>
    <row r="984" spans="1:5" ht="16.5" x14ac:dyDescent="0.3">
      <c r="A984" s="12"/>
      <c r="B984" s="6"/>
      <c r="C984" s="8"/>
      <c r="D984" s="8"/>
      <c r="E984" s="8"/>
    </row>
    <row r="985" spans="1:5" ht="16.5" x14ac:dyDescent="0.3">
      <c r="A985" s="11"/>
      <c r="B985" s="6"/>
      <c r="C985" s="8"/>
      <c r="D985" s="8"/>
      <c r="E985" s="8"/>
    </row>
    <row r="986" spans="1:5" ht="16.5" x14ac:dyDescent="0.3">
      <c r="A986" s="12"/>
      <c r="B986" s="6"/>
      <c r="C986" s="8"/>
      <c r="D986" s="8"/>
      <c r="E986" s="8"/>
    </row>
    <row r="987" spans="1:5" ht="16.5" x14ac:dyDescent="0.3">
      <c r="A987" s="11"/>
      <c r="B987" s="6"/>
      <c r="C987" s="8"/>
      <c r="D987" s="8"/>
      <c r="E987" s="8"/>
    </row>
    <row r="988" spans="1:5" ht="16.5" x14ac:dyDescent="0.3">
      <c r="A988" s="12"/>
      <c r="B988" s="6"/>
      <c r="C988" s="8"/>
      <c r="D988" s="8"/>
      <c r="E988" s="8"/>
    </row>
    <row r="989" spans="1:5" ht="16.5" x14ac:dyDescent="0.3">
      <c r="A989" s="11"/>
      <c r="B989" s="6"/>
      <c r="C989" s="8"/>
      <c r="D989" s="8"/>
      <c r="E989" s="8"/>
    </row>
    <row r="990" spans="1:5" ht="16.5" x14ac:dyDescent="0.3">
      <c r="A990" s="12"/>
      <c r="B990" s="6"/>
      <c r="C990" s="8"/>
      <c r="D990" s="8"/>
      <c r="E990" s="8"/>
    </row>
    <row r="991" spans="1:5" ht="16.5" x14ac:dyDescent="0.3">
      <c r="A991" s="11"/>
      <c r="B991" s="6"/>
      <c r="C991" s="8"/>
      <c r="D991" s="8"/>
      <c r="E991" s="8"/>
    </row>
    <row r="992" spans="1:5" ht="16.5" x14ac:dyDescent="0.3">
      <c r="A992" s="12"/>
      <c r="B992" s="6"/>
      <c r="C992" s="8"/>
      <c r="D992" s="8"/>
      <c r="E992" s="8"/>
    </row>
    <row r="993" spans="1:5" ht="16.5" x14ac:dyDescent="0.3">
      <c r="A993" s="11"/>
      <c r="B993" s="6"/>
      <c r="C993" s="8"/>
      <c r="D993" s="8"/>
      <c r="E993" s="8"/>
    </row>
    <row r="994" spans="1:5" ht="16.5" x14ac:dyDescent="0.3">
      <c r="A994" s="12"/>
      <c r="B994" s="6"/>
      <c r="C994" s="8"/>
      <c r="D994" s="8"/>
      <c r="E994" s="8"/>
    </row>
    <row r="995" spans="1:5" ht="16.5" x14ac:dyDescent="0.3">
      <c r="A995" s="11"/>
      <c r="B995" s="6"/>
      <c r="C995" s="8"/>
      <c r="D995" s="8"/>
      <c r="E995" s="8"/>
    </row>
    <row r="996" spans="1:5" ht="16.5" x14ac:dyDescent="0.3">
      <c r="A996" s="12"/>
      <c r="B996" s="6"/>
      <c r="C996" s="8"/>
      <c r="D996" s="8"/>
      <c r="E996" s="8"/>
    </row>
    <row r="997" spans="1:5" ht="16.5" x14ac:dyDescent="0.3">
      <c r="A997" s="11"/>
      <c r="B997" s="6"/>
      <c r="C997" s="8"/>
      <c r="D997" s="8"/>
      <c r="E997" s="8"/>
    </row>
    <row r="998" spans="1:5" ht="16.5" x14ac:dyDescent="0.3">
      <c r="A998" s="12"/>
      <c r="B998" s="6"/>
      <c r="C998" s="8"/>
      <c r="D998" s="8"/>
      <c r="E998" s="8"/>
    </row>
    <row r="999" spans="1:5" ht="16.5" x14ac:dyDescent="0.3">
      <c r="A999" s="11"/>
      <c r="B999" s="6"/>
      <c r="C999" s="8"/>
      <c r="D999" s="8"/>
      <c r="E999" s="8"/>
    </row>
    <row r="1000" spans="1:5" ht="16.5" x14ac:dyDescent="0.3">
      <c r="A1000" s="12"/>
      <c r="B1000" s="6"/>
      <c r="C1000" s="8"/>
      <c r="D1000" s="8"/>
      <c r="E1000" s="8"/>
    </row>
  </sheetData>
  <autoFilter ref="A4:F4" xr:uid="{F75459F6-5779-4C9C-9B1B-78149C265EC0}"/>
  <mergeCells count="1">
    <mergeCell ref="A2:F2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8356862-ED11-4DA5-B6EF-91E07DA2FED8}">
          <x14:formula1>
            <xm:f>'Controle de Criativos'!$A$5:$A$100</xm:f>
          </x14:formula1>
          <xm:sqref>D5:D1000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1121A-30BE-4481-9116-589E11BA700C}">
  <dimension ref="B2:D11"/>
  <sheetViews>
    <sheetView workbookViewId="0"/>
  </sheetViews>
  <sheetFormatPr defaultRowHeight="15" x14ac:dyDescent="0.25"/>
  <cols>
    <col min="2" max="2" width="22.7109375" customWidth="1"/>
    <col min="3" max="3" width="32.7109375" customWidth="1"/>
    <col min="4" max="4" width="55.7109375" customWidth="1"/>
  </cols>
  <sheetData>
    <row r="2" spans="2:4" ht="35.1" customHeight="1" x14ac:dyDescent="0.25">
      <c r="B2" s="1" t="s">
        <v>104</v>
      </c>
      <c r="C2" s="1"/>
      <c r="D2" s="1"/>
    </row>
    <row r="4" spans="2:4" ht="26.1" customHeight="1" x14ac:dyDescent="0.25">
      <c r="B4" s="4" t="s">
        <v>105</v>
      </c>
      <c r="C4" s="4" t="s">
        <v>106</v>
      </c>
      <c r="D4" s="4" t="s">
        <v>107</v>
      </c>
    </row>
    <row r="5" spans="2:4" ht="16.5" x14ac:dyDescent="0.3">
      <c r="B5" s="39" t="s">
        <v>108</v>
      </c>
      <c r="C5" s="3" t="e">
        <f>IF('Dashboard Executivo'!D8=0, "Sem dados de vendas.", IF('Dashboard Executivo'!D8&lt;='Dashboard Executivo'!K6, _xlfn.UNICHAR(128994) &amp; " CPA dentro da meta.", _xlfn.UNICHAR(128992) &amp; " CPA acima da meta."))</f>
        <v>#NAME?</v>
      </c>
      <c r="D5" s="2" t="e">
        <f>IF('Dashboard Executivo'!D8=0, "-", IF('Dashboard Executivo'!D8&lt;='Dashboard Executivo'!K6, "Sua aquisicao esta saudavel. Pode manter ou escalar.", "Cuidado! Pause criativos ruins e reduza verba para controlar custos."))</f>
        <v>#NAME?</v>
      </c>
    </row>
    <row r="6" spans="2:4" ht="16.5" x14ac:dyDescent="0.3">
      <c r="B6" s="40" t="s">
        <v>109</v>
      </c>
      <c r="C6" s="3" t="e">
        <f>IF('Dashboard Executivo'!H5=0, "Sem dados de investimento.", IF('Dashboard Executivo'!H5&gt;='Dashboard Executivo'!K5, _xlfn.UNICHAR(128994) &amp; " ROAS dentro da meta.", _xlfn.UNICHAR(128992) &amp; " ROAS abaixo da meta."))</f>
        <v>#NAME?</v>
      </c>
      <c r="D6" s="2" t="e">
        <f>IF('Dashboard Executivo'!H5=0, "-", IF('Dashboard Executivo'!H5&gt;='Dashboard Executivo'!K5, "Operacao lucrativa. Bom momento para escala gradual.", "Trabalhando no vermelho. Revise o preco ou teste novos criativos."))</f>
        <v>#NAME?</v>
      </c>
    </row>
    <row r="7" spans="2:4" ht="16.5" x14ac:dyDescent="0.3">
      <c r="B7" s="39" t="s">
        <v>110</v>
      </c>
      <c r="C7" s="3" t="e">
        <f>IF('Analise de Funil'!D9&lt;0.05, _xlfn.UNICHAR(128992) &amp; " Checkout baixo (&lt;5%)", _xlfn.UNICHAR(128994) &amp; " Checkout saudavel")</f>
        <v>#NAME?</v>
      </c>
      <c r="D7" s="2" t="e">
        <f>IF('Analise de Funil'!D9&lt;0.05, "Gargalo no checkout. Use checkout de 1 clique, Pix automatico e recupere abandonos.", "Mantenha a estrutura e continue otimizando.")</f>
        <v>#NAME?</v>
      </c>
    </row>
    <row r="8" spans="2:4" ht="16.5" x14ac:dyDescent="0.3">
      <c r="B8" s="40" t="s">
        <v>111</v>
      </c>
      <c r="C8" s="3" t="e">
        <f>IF('Analise de Funil'!D8&lt;0.05, _xlfn.UNICHAR(128992) &amp; " Landing Page baixa (&lt;5%)", _xlfn.UNICHAR(128994) &amp; " Landing Page saudavel")</f>
        <v>#NAME?</v>
      </c>
      <c r="D8" s="2" t="e">
        <f>IF('Analise de Funil'!D8&lt;0.05, "Verifique velocidade e garanta promessa clara na primeira dobra.", "Mantenha e faca testes A/B pontuais.")</f>
        <v>#NAME?</v>
      </c>
    </row>
    <row r="9" spans="2:4" ht="16.5" x14ac:dyDescent="0.3">
      <c r="B9" s="39" t="s">
        <v>112</v>
      </c>
      <c r="C9" s="3" t="e">
        <f>IF('Analise de Funil'!D6&lt;0.01, _xlfn.UNICHAR(128992) &amp; " CTR baixo (&lt;1%)", _xlfn.UNICHAR(128994) &amp; " CTR saudavel")</f>
        <v>#NAME?</v>
      </c>
      <c r="D9" s="2" t="e">
        <f>IF('Analise de Funil'!D6&lt;0.01, "Produza criativos com hooks (ganchos) de 3 segundos mais fortes.", "Parabens! Continue produzindo variacoes dos melhores.")</f>
        <v>#NAME?</v>
      </c>
    </row>
    <row r="10" spans="2:4" ht="16.5" x14ac:dyDescent="0.3">
      <c r="B10" s="40" t="s">
        <v>113</v>
      </c>
      <c r="C10" s="3" t="str">
        <f>IF(COUNTA('Controle Diario'!A$5:A$100)&lt;7, "Historico insuficiente.", IF(AND(INDEX('Controle Diario'!L$5:L$100, COUNTA('Controle Diario'!A$5:A$100)) &gt; INDEX('Controle Diario'!L$5:L$100, COUNTA('Controle Diario'!A$5:A$100)-1), INDEX('Controle Diario'!L$5:L$100, COUNTA('Controle Diario'!A$5:A$100)-1) &gt; INDEX('Controle Diario'!L$5:L$100, COUNTA('Controle Diario'!A$5:A$100)-2)), _xlfn.UNICHAR(128992) &amp; " CPA subindo ha 3 dias", _xlfn.UNICHAR(128994) &amp; " CPA saudavel/estavel"))</f>
        <v>🟢 CPA saudavel/estavel</v>
      </c>
      <c r="D10" s="2" t="str">
        <f>IF(COUNTA('Controle Diario'!A$5:A$100)&lt;7, "-", IF(AND(INDEX('Controle Diario'!L$5:L$100, COUNTA('Controle Diario'!A$5:A$100)) &gt; INDEX('Controle Diario'!L$5:L$100, COUNTA('Controle Diario'!A$5:A$100)-1), INDEX('Controle Diario'!L$5:L$100, COUNTA('Controle Diario'!A$5:A$100)-1) &gt; INDEX('Controle Diario'!L$5:L$100, COUNTA('Controle Diario'!A$5:A$100)-2)), "Fadiga de criativo provavel. Renove os anuncios do conjunto.", "Normalidade operacional mantida."))</f>
        <v>Normalidade operacional mantida.</v>
      </c>
    </row>
    <row r="11" spans="2:4" ht="16.5" x14ac:dyDescent="0.3">
      <c r="B11" s="39" t="s">
        <v>114</v>
      </c>
      <c r="C11" s="3" t="str">
        <f>_xlfn.UNICHAR(127942) &amp; " Criativo: " &amp; 'Controle de Criativos'!P6</f>
        <v>🏆 Criativo: Criativo B - Video Gancho 1</v>
      </c>
      <c r="D11" s="2" t="str">
        <f>CONCATENATE("ROAS de ", TEXT('Controle de Criativos'!Q6, "0.0"), ". Considere criar variacoes do mesmo.")</f>
        <v>ROAS de 02. Considere criar variacoes do mesmo.</v>
      </c>
    </row>
  </sheetData>
  <mergeCells count="1">
    <mergeCell ref="B2:D2"/>
  </mergeCells>
  <conditionalFormatting sqref="C5:C11">
    <cfRule type="expression" dxfId="2" priority="1" stopIfTrue="1">
      <formula>LEFT(C5,1)=CARACT.UNICODE(128992)</formula>
    </cfRule>
    <cfRule type="expression" dxfId="1" priority="2" stopIfTrue="1">
      <formula>LEFT(C5,1)=CARACT.UNICODE(128993)</formula>
    </cfRule>
    <cfRule type="expression" dxfId="0" priority="3" stopIfTrue="1">
      <formula>OR(LEFT(C5,1)=CARACT.UNICODE(128994),LEFT(C5,1)=CARACT.UNICODE(127942))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Dashboard Executivo</vt:lpstr>
      <vt:lpstr>Controle Diario</vt:lpstr>
      <vt:lpstr>Controle de Criativos</vt:lpstr>
      <vt:lpstr>Analise de Funil</vt:lpstr>
      <vt:lpstr>Historico de Escala</vt:lpstr>
      <vt:lpstr>Registro de Vendas</vt:lpstr>
      <vt:lpstr>Insights Automaticos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Lorena</dc:creator>
  <cp:lastModifiedBy>Carla Lorena</cp:lastModifiedBy>
  <dcterms:created xsi:type="dcterms:W3CDTF">2026-06-20T16:18:23Z</dcterms:created>
  <dcterms:modified xsi:type="dcterms:W3CDTF">2026-06-20T16:21:15Z</dcterms:modified>
</cp:coreProperties>
</file>